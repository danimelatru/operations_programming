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lejandra\OneDrive\Escritorio\"/>
    </mc:Choice>
  </mc:AlternateContent>
  <xr:revisionPtr revIDLastSave="0" documentId="8_{7CA263E3-E6E8-4C09-988A-0F9549679114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Datos" sheetId="1" r:id="rId1"/>
    <sheet name="Resultados Reglas Despacho" sheetId="2" r:id="rId2"/>
    <sheet name="Resultados Heuristicas" sheetId="3" r:id="rId3"/>
    <sheet name="Resultados Metaheuristica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2" l="1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C32" i="3"/>
  <c r="D32" i="3"/>
  <c r="B32" i="3"/>
  <c r="K3" i="3"/>
  <c r="K32" i="3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J32" i="3" s="1"/>
  <c r="I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31" i="2"/>
  <c r="K31" i="2" s="1"/>
  <c r="I3" i="2"/>
  <c r="K3" i="2" s="1"/>
  <c r="I4" i="2"/>
  <c r="K4" i="2" s="1"/>
  <c r="I5" i="2"/>
  <c r="L5" i="2" s="1"/>
  <c r="I6" i="2"/>
  <c r="L6" i="2" s="1"/>
  <c r="I7" i="2"/>
  <c r="K7" i="2" s="1"/>
  <c r="I8" i="2"/>
  <c r="L8" i="2" s="1"/>
  <c r="I9" i="2"/>
  <c r="J9" i="2" s="1"/>
  <c r="I10" i="2"/>
  <c r="K10" i="2" s="1"/>
  <c r="I11" i="2"/>
  <c r="K11" i="2" s="1"/>
  <c r="I12" i="2"/>
  <c r="J12" i="2" s="1"/>
  <c r="I13" i="2"/>
  <c r="K13" i="2" s="1"/>
  <c r="I14" i="2"/>
  <c r="L14" i="2" s="1"/>
  <c r="I15" i="2"/>
  <c r="K15" i="2" s="1"/>
  <c r="I16" i="2"/>
  <c r="K16" i="2" s="1"/>
  <c r="I17" i="2"/>
  <c r="L17" i="2" s="1"/>
  <c r="I18" i="2"/>
  <c r="L18" i="2" s="1"/>
  <c r="I19" i="2"/>
  <c r="K19" i="2" s="1"/>
  <c r="I20" i="2"/>
  <c r="L20" i="2" s="1"/>
  <c r="I21" i="2"/>
  <c r="J21" i="2" s="1"/>
  <c r="I22" i="2"/>
  <c r="K22" i="2" s="1"/>
  <c r="I23" i="2"/>
  <c r="J23" i="2" s="1"/>
  <c r="I24" i="2"/>
  <c r="K24" i="2" s="1"/>
  <c r="I25" i="2"/>
  <c r="L25" i="2" s="1"/>
  <c r="I26" i="2"/>
  <c r="K26" i="2" s="1"/>
  <c r="I27" i="2"/>
  <c r="K27" i="2" s="1"/>
  <c r="I28" i="2"/>
  <c r="K28" i="2" s="1"/>
  <c r="I29" i="2"/>
  <c r="L29" i="2" s="1"/>
  <c r="I30" i="2"/>
  <c r="L30" i="2" s="1"/>
  <c r="I2" i="2"/>
  <c r="L2" i="2" s="1"/>
  <c r="J4" i="2"/>
  <c r="J6" i="2"/>
  <c r="J8" i="2"/>
  <c r="J16" i="2"/>
  <c r="J17" i="2"/>
  <c r="J18" i="2"/>
  <c r="J20" i="2"/>
  <c r="J28" i="2"/>
  <c r="J30" i="2"/>
  <c r="J31" i="2"/>
  <c r="L4" i="2"/>
  <c r="L15" i="2"/>
  <c r="L16" i="2"/>
  <c r="L28" i="2"/>
  <c r="L31" i="2"/>
  <c r="D32" i="2"/>
  <c r="C32" i="2"/>
  <c r="B32" i="2"/>
  <c r="L27" i="2" l="1"/>
  <c r="L7" i="2"/>
  <c r="J19" i="2"/>
  <c r="J15" i="2"/>
  <c r="K30" i="2"/>
  <c r="K14" i="2"/>
  <c r="L19" i="2"/>
  <c r="J3" i="2"/>
  <c r="L3" i="2"/>
  <c r="J27" i="2"/>
  <c r="J7" i="2"/>
  <c r="J2" i="2"/>
  <c r="K6" i="2"/>
  <c r="K29" i="2"/>
  <c r="K25" i="2"/>
  <c r="K21" i="2"/>
  <c r="K17" i="2"/>
  <c r="K9" i="2"/>
  <c r="K5" i="2"/>
  <c r="K20" i="2"/>
  <c r="K12" i="2"/>
  <c r="K8" i="2"/>
  <c r="J29" i="2"/>
  <c r="J5" i="2"/>
  <c r="K23" i="2"/>
  <c r="K2" i="2"/>
  <c r="L32" i="3"/>
  <c r="L26" i="2"/>
  <c r="L13" i="2"/>
  <c r="L12" i="2"/>
  <c r="L23" i="2"/>
  <c r="L11" i="2"/>
  <c r="L22" i="2"/>
  <c r="L10" i="2"/>
  <c r="L21" i="2"/>
  <c r="L9" i="2"/>
  <c r="J26" i="2"/>
  <c r="J14" i="2"/>
  <c r="J25" i="2"/>
  <c r="J13" i="2"/>
  <c r="J24" i="2"/>
  <c r="J11" i="2"/>
  <c r="J22" i="2"/>
  <c r="J10" i="2"/>
  <c r="L24" i="2"/>
  <c r="J32" i="2" l="1"/>
  <c r="L32" i="2"/>
  <c r="K32" i="2"/>
</calcChain>
</file>

<file path=xl/sharedStrings.xml><?xml version="1.0" encoding="utf-8"?>
<sst xmlns="http://schemas.openxmlformats.org/spreadsheetml/2006/main" count="390" uniqueCount="266">
  <si>
    <t>Tiempo de proceso</t>
  </si>
  <si>
    <t>Tiempo preparación</t>
  </si>
  <si>
    <t>Coste Producto (u.m / producto)</t>
  </si>
  <si>
    <t>Unidades</t>
  </si>
  <si>
    <t>u.m/u.t</t>
  </si>
  <si>
    <t>Mecanizado</t>
  </si>
  <si>
    <t>Soldadura</t>
  </si>
  <si>
    <t>Montaje</t>
  </si>
  <si>
    <t>Tiempo</t>
  </si>
  <si>
    <t>Coste</t>
  </si>
  <si>
    <t>Costes de proceso</t>
  </si>
  <si>
    <t>Costes  preparación</t>
  </si>
  <si>
    <t>Costes de standby (idle)</t>
  </si>
  <si>
    <t>Ref de producto</t>
  </si>
  <si>
    <t>CNC1</t>
  </si>
  <si>
    <t>CNC2</t>
  </si>
  <si>
    <t>CNC3</t>
  </si>
  <si>
    <t xml:space="preserve">Puesto1 </t>
  </si>
  <si>
    <t>Puesto2</t>
  </si>
  <si>
    <t>u.t</t>
  </si>
  <si>
    <t>u.m.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</si>
  <si>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</si>
  <si>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</si>
  <si>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</si>
  <si>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</si>
  <si>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</si>
  <si>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</si>
  <si>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</si>
  <si>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</si>
  <si>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</si>
  <si>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</si>
  <si>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</si>
  <si>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</si>
  <si>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</si>
  <si>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</si>
  <si>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</si>
  <si>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</si>
  <si>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</si>
  <si>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</si>
  <si>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</si>
  <si>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</si>
  <si>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</si>
  <si>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</si>
  <si>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</si>
  <si>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</si>
  <si>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</si>
  <si>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</si>
  <si>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</si>
  <si>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</si>
  <si>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</si>
  <si>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</si>
  <si>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</si>
  <si>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</si>
  <si>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</si>
  <si>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</si>
  <si>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</si>
  <si>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</si>
  <si>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</si>
  <si>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</si>
  <si>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</si>
  <si>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</si>
  <si>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</si>
  <si>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</si>
  <si>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</si>
  <si>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</si>
  <si>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</si>
  <si>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</si>
  <si>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</si>
  <si>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</si>
  <si>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</si>
  <si>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</si>
  <si>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</si>
  <si>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</si>
  <si>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</si>
  <si>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</si>
  <si>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</si>
  <si>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</si>
  <si>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</si>
  <si>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</si>
  <si>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</si>
  <si>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</si>
  <si>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</si>
  <si>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</si>
  <si>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</si>
  <si>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</si>
  <si>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</si>
  <si>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</si>
  <si>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</si>
  <si>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</si>
  <si>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</si>
  <si>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</si>
  <si>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</si>
  <si>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</si>
  <si>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</si>
  <si>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</si>
  <si>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</si>
  <si>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</si>
  <si>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</si>
  <si>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</si>
  <si>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</si>
  <si>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</si>
  <si>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</si>
  <si>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</si>
  <si>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</si>
  <si>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</si>
  <si>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</si>
  <si>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</si>
  <si>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</si>
  <si>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</si>
  <si>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</si>
  <si>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</si>
  <si>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</si>
  <si>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</si>
  <si>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</si>
  <si>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</si>
  <si>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</si>
  <si>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</si>
  <si>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</si>
  <si>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</si>
  <si>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</si>
  <si>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</si>
  <si>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</si>
  <si>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</si>
  <si>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</si>
  <si>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</si>
  <si>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</si>
  <si>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</si>
  <si>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</si>
  <si>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</si>
  <si>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</si>
  <si>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</si>
  <si>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</si>
  <si>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</si>
  <si>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</si>
  <si>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</si>
  <si>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</si>
  <si>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</si>
  <si>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</si>
  <si>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</si>
  <si>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</si>
  <si>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</si>
  <si>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</si>
  <si>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</si>
  <si>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</si>
  <si>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</si>
  <si>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</si>
  <si>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</si>
  <si>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</si>
  <si>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</si>
  <si>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</si>
  <si>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</si>
  <si>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</si>
  <si>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</si>
  <si>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</si>
  <si>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</si>
  <si>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</si>
  <si>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</si>
  <si>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</si>
  <si>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</si>
  <si>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</si>
  <si>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</si>
  <si>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</si>
  <si>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</si>
  <si>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</si>
  <si>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</si>
  <si>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</si>
  <si>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</si>
  <si>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</si>
  <si>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</si>
  <si>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</si>
  <si>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</si>
  <si>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</si>
  <si>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</si>
  <si>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</si>
  <si>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</si>
  <si>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</si>
  <si>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</si>
  <si>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</si>
  <si>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</si>
  <si>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</si>
  <si>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</si>
  <si>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</si>
  <si>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</si>
  <si>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</si>
  <si>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</si>
  <si>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</si>
  <si>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</si>
  <si>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</si>
  <si>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</si>
  <si>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</si>
  <si>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</si>
  <si>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</si>
  <si>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</si>
  <si>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</si>
  <si>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</si>
  <si>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</si>
  <si>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</si>
  <si>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</si>
  <si>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</si>
  <si>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</si>
  <si>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</si>
  <si>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</si>
  <si>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</si>
  <si>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</si>
  <si>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</si>
  <si>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</si>
  <si>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</si>
  <si>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</si>
  <si>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</si>
  <si>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</si>
  <si>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</si>
  <si>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</si>
  <si>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</si>
  <si>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</si>
  <si>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</si>
  <si>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</si>
  <si>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</si>
  <si>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</si>
  <si>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</si>
  <si>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</si>
  <si>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</si>
  <si>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Instancia</t>
  </si>
  <si>
    <t>EDD</t>
  </si>
  <si>
    <t>LPT</t>
  </si>
  <si>
    <t>WSPT</t>
  </si>
  <si>
    <t>Mejor Regla</t>
  </si>
  <si>
    <t>Mejor Valor</t>
  </si>
  <si>
    <t>CI</t>
  </si>
  <si>
    <t>MS</t>
  </si>
  <si>
    <t>ATC</t>
  </si>
  <si>
    <t>Mejor Heurística</t>
  </si>
  <si>
    <t>IG</t>
  </si>
  <si>
    <t>GA</t>
  </si>
  <si>
    <t>Mejor Metaheurística</t>
  </si>
  <si>
    <t>Iterated G</t>
  </si>
  <si>
    <t>Secuencia Referencias</t>
  </si>
  <si>
    <t>['87', '118', '20', '134', '126', '190', '35', '149', '57', '164']</t>
  </si>
  <si>
    <t>['109', '197', '69', '105', '173', '122', '50', '126', '159', '117']</t>
  </si>
  <si>
    <t>['147', '142', '70', '137', '89', '123', '199', '155', '122', '20']</t>
  </si>
  <si>
    <t>['165', '123', '110', '153', '176', '26', '72', '184', '47', '3']</t>
  </si>
  <si>
    <t>['190', '66', '127', '84', '130', '105', '102', '147', '48', '100']</t>
  </si>
  <si>
    <t>['34', '119', '89', '39', '144', '169', '90', '156', '155', '111']</t>
  </si>
  <si>
    <t>['175', '154', '49', '187', '132', '113', '4', '71', '91', '147']</t>
  </si>
  <si>
    <t>['33', '101', '30', '3', '160', '60', '23', '9', '188', '35']</t>
  </si>
  <si>
    <t>['150', '83', '80', '158', '69', '94', '19', '128', '156', '87']</t>
  </si>
  <si>
    <t>['34', '21', '130', '110', '188', '42', '80', '80', '18', '145']</t>
  </si>
  <si>
    <t>['57', '5', '101', '169', '157', '21', '82', '142', '22', '159', '26', '51', '68', '24', '4', '191', '190', '22', '143', '36']</t>
  </si>
  <si>
    <t>['113', '41', '174', '182', '50', '59', '42', '113', '46', '159', '182', '135', '135', '64', '24', '84', '124', '183', '164', '155']</t>
  </si>
  <si>
    <t>['97', '9', '121', '161', '138', '50', '62', '121', '77', '130', '150', '108', '39', '72', '192', '182', '160', '64', '144', '127']</t>
  </si>
  <si>
    <t>['165', '181', '21', '66', '142', '153', '190', '12', '160', '160', '52', '99', '22', '40', '140', '7', '36', '191', '152', '16']</t>
  </si>
  <si>
    <t>['85', '181', '113', '113', '6', '173', '33', '23', '1', '89', '146', '46', '50', '112', '170', '171', '51', '78', '180', '88']</t>
  </si>
  <si>
    <t>['33', '5', '121', '158', '21', '73', '75', '161', '91', '64', '120', '76', '76', '156', '88', '35', '80', '164', '12', '135']</t>
  </si>
  <si>
    <t>['145', '9', '113', '130', '97', '174', '21', '110', '177', '5', '63', '4', '151', '70', '26', '86', '191', '44', '12', '122']</t>
  </si>
  <si>
    <t>['133', '58', '33', '197', '29', '173', '146', '131', '154', '98', '167', '96', '140', '178', '70', '18', '166', '100', '52', '164']</t>
  </si>
  <si>
    <t>['177', '149', '101', '121', '66', '189', '25', '48', '61', '22', '141', '86', '119', '88', '162', '32', '59', '120', '56', '32']</t>
  </si>
  <si>
    <t>['37', '66', '121', '22', '21', '115', '25', '76', '72', '131', '66', '77', '119', '178', '50', '124', '84', '8', '68', '155']</t>
  </si>
  <si>
    <t>['149', '165', '81', '181', '33', '21', '25', '25', '53', '42', '174', '142', '167', '27', '175', '114', '132', '91', '177', '26', '138', '123', '123', '180', '136', '171', '172', '168', '163', '36']</t>
  </si>
  <si>
    <t>['117', '5', '105', '21', '66', '66', '58', '58', '62', '42', '142', '182', '54', '54', '121', '73', '158', '114', '99', '192', '51', '128', '72', '160', '104', '64', '16', '80', '84', '124']</t>
  </si>
  <si>
    <t>['25', '82', '146', '42', '158', '185', '119', '109', '35', '84', '89', '143', '77', '49', '114', '188', '28', '108', '112', '90', '76', '63', '191', '35', '176', '31', '156', '132', '164', '16']</t>
  </si>
  <si>
    <t>['82', '181', '193', '130', '169', '49', '137', '29', '49', '142', '62', '30', '55', '55', '139', '14', '110', '91', '67', '38', '63', '112', '166', '64', '83', '147', '80', '92', '120', '31']</t>
  </si>
  <si>
    <t>['189', '106', '82', '144', '145', '149', '52', '9', '50', '178', '96', '180', '62', '120', '74', '12', '95', '2', '136', '100', '49', '20', '134', '135', '132', '135', '52', '40', '164', '35']</t>
  </si>
  <si>
    <t>['57', '78', '113', '93', '167', '33', '32', '9', '106', '170', '155', '96', '35', '170', '27', '55', '73', '117', '102', '134', '150', '19', '99', '47', '98', '88', '120', '140', '140', '156']</t>
  </si>
  <si>
    <t>['185', '66', '107', '137', '14', '162', '166', '38', '159', '165', '65', '126', '167', '154', '22', '75', '160', '139', '176', '16', '107', '60', '132', '24', '32', '59', '184', '131', '168', '163']</t>
  </si>
  <si>
    <t>['81', '89', '181', '5', '78', '58', '62', '53', '173', '69', '153', '2', '167', '121', '23', '103', '151', '177', '95', '18', '108', '92', '136', '24', '111', '172', '11', '143', '155', '7']</t>
  </si>
  <si>
    <t>['33', '105', '77', '173', '97', '90', '90', '110', '20', '152', '47', '43', '135', '3', '100', '100', '187', '107', '64', '16', '144', '24', '24', '147', '131', '76', '156', '7', '7', '196']</t>
  </si>
  <si>
    <t>['133', '61', '57', '117', '34', '97', '23', '81', '141', '126', '197', '154', '10', '138', '175', '194', '87', '32', '135', '127', '179', '132', '15', '56', '116', '116', '104', '140', '183', '36']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</si>
</sst>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3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8" xfId="0" applyFont="1" applyBorder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center" vertical="top"/>
    </xf>
    <xf numFmtId="2" fontId="0" fillId="4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10" fontId="4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10" fontId="0" fillId="4" borderId="8" xfId="0" applyNumberFormat="1" applyFill="1" applyBorder="1" applyAlignment="1">
      <alignment horizontal="center"/>
    </xf>
    <xf numFmtId="9" fontId="0" fillId="4" borderId="8" xfId="0" applyNumberFormat="1" applyFill="1" applyBorder="1" applyAlignment="1">
      <alignment horizontal="center"/>
    </xf>
    <xf numFmtId="0" fontId="3" fillId="6" borderId="8" xfId="0" applyFont="1" applyFill="1" applyBorder="1" applyAlignment="1">
      <alignment horizontal="center" vertical="top"/>
    </xf>
    <xf numFmtId="0" fontId="4" fillId="6" borderId="0" xfId="0" applyFont="1" applyFill="1"/>
    <xf numFmtId="0" fontId="1" fillId="6" borderId="8" xfId="0" applyFont="1" applyFill="1" applyBorder="1" applyAlignment="1">
      <alignment horizontal="center" vertical="top"/>
    </xf>
    <xf numFmtId="9" fontId="4" fillId="6" borderId="0" xfId="0" applyNumberFormat="1" applyFont="1" applyFill="1"/>
    <xf numFmtId="0" fontId="0" fillId="7" borderId="8" xfId="0" applyFill="1" applyBorder="1"/>
    <xf numFmtId="0" fontId="0" fillId="8" borderId="8" xfId="0" applyFill="1" applyBorder="1"/>
    <xf numFmtId="9" fontId="2" fillId="8" borderId="8" xfId="1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7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Desviación</a:t>
            </a:r>
            <a:r>
              <a:rPr lang="es-ES" baseline="0"/>
              <a:t> con respecto al mejor valor de las distintas Reglas de Despacho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'Resultados Reglas Despacho'!$J$1:$L$1</c:f>
              <c:strCache>
                <c:ptCount val="3"/>
                <c:pt idx="0">
                  <c:v>EDD</c:v>
                </c:pt>
                <c:pt idx="1">
                  <c:v>LPT</c:v>
                </c:pt>
                <c:pt idx="2">
                  <c:v>WSPT</c:v>
                </c:pt>
              </c:strCache>
            </c:strRef>
          </c:cat>
          <c:val>
            <c:numRef>
              <c:f>'Resultados Reglas Despacho'!$J$32:$L$32</c:f>
              <c:numCache>
                <c:formatCode>0%</c:formatCode>
                <c:ptCount val="3"/>
                <c:pt idx="0">
                  <c:v>6.4761947359549502E-2</c:v>
                </c:pt>
                <c:pt idx="1">
                  <c:v>1</c:v>
                </c:pt>
                <c:pt idx="2">
                  <c:v>0.1471129251058079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C-43B4-BF25-424471A157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4152608"/>
        <c:axId val="514167968"/>
      </c:barChart>
      <c:catAx>
        <c:axId val="51415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Reglas de Despacho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4167968"/>
        <c:crosses val="autoZero"/>
        <c:auto val="1"/>
        <c:lblAlgn val="ctr"/>
        <c:lblOffset val="100"/>
        <c:noMultiLvlLbl val="0"/>
      </c:catAx>
      <c:valAx>
        <c:axId val="51416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Desviación</a:t>
                </a:r>
                <a:r>
                  <a:rPr lang="es-ES" baseline="0"/>
                  <a:t> (%)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415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Desviación con respecto al mejor valor de las Heurísticas Constructivas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'Resultados Heuristicas'!$J$1:$L$1</c:f>
              <c:strCache>
                <c:ptCount val="3"/>
                <c:pt idx="0">
                  <c:v>CI</c:v>
                </c:pt>
                <c:pt idx="1">
                  <c:v>MS</c:v>
                </c:pt>
                <c:pt idx="2">
                  <c:v>ATC</c:v>
                </c:pt>
              </c:strCache>
            </c:strRef>
          </c:cat>
          <c:val>
            <c:numRef>
              <c:f>'Resultados Heuristicas'!$J$32:$L$32</c:f>
              <c:numCache>
                <c:formatCode>0.00%</c:formatCode>
                <c:ptCount val="3"/>
                <c:pt idx="0" formatCode="0%">
                  <c:v>1</c:v>
                </c:pt>
                <c:pt idx="1">
                  <c:v>3.0284554321711694E-2</c:v>
                </c:pt>
                <c:pt idx="2">
                  <c:v>1.3019982763367113E-3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4-4367-AA7C-FAC8BB12BD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4356224"/>
        <c:axId val="1904355744"/>
      </c:barChart>
      <c:catAx>
        <c:axId val="190435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Heurísticas</a:t>
                </a:r>
                <a:r>
                  <a:rPr lang="es-ES" baseline="0"/>
                  <a:t> Constructivas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4355744"/>
        <c:crosses val="autoZero"/>
        <c:auto val="1"/>
        <c:lblAlgn val="ctr"/>
        <c:lblOffset val="100"/>
        <c:noMultiLvlLbl val="0"/>
      </c:catAx>
      <c:valAx>
        <c:axId val="19043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Desviación</a:t>
                </a:r>
                <a:r>
                  <a:rPr lang="es-ES" baseline="0"/>
                  <a:t> (%)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435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390525</xdr:colOff>
      <xdr:row>6</xdr:row>
      <xdr:rowOff>180975</xdr:rowOff>
    </xdr:from>
    <xdr:to>
      <xdr:col>22</xdr:col>
      <xdr:colOff>447675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93A06-4ECD-C7F3-B821-1C6ED7740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309561</xdr:colOff>
      <xdr:row>2</xdr:row>
      <xdr:rowOff>95249</xdr:rowOff>
    </xdr:from>
    <xdr:to>
      <xdr:col>21</xdr:col>
      <xdr:colOff>142874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027412-7CB5-D45D-2D78-1AA4E7992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3"/>
  <sheetViews>
    <sheetView workbookViewId="0">
      <selection activeCell="J26" sqref="J26"/>
    </sheetView>
  </sheetViews>
  <sheetFormatPr baseColWidth="10" defaultColWidth="9.1796875" defaultRowHeight="14.5" x14ac:dyDescent="0.35"/>
  <cols>
    <col min="1" max="1" width="15.1796875" bestFit="1" customWidth="1"/>
    <col min="2" max="2" width="11.453125" bestFit="1" customWidth="1"/>
    <col min="3" max="4" width="11.453125" customWidth="1"/>
    <col min="5" max="5" width="9.81640625" bestFit="1" customWidth="1"/>
    <col min="6" max="6" width="9.81640625" customWidth="1"/>
    <col min="7" max="7" width="8.453125" bestFit="1" customWidth="1"/>
    <col min="8" max="8" width="9.453125" customWidth="1"/>
    <col min="9" max="9" width="8.81640625" customWidth="1"/>
    <col min="10" max="10" width="14.453125" bestFit="1" customWidth="1"/>
    <col min="13" max="13" width="9.26953125" bestFit="1" customWidth="1"/>
  </cols>
  <sheetData>
    <row r="1" spans="1:26" x14ac:dyDescent="0.35">
      <c r="A1" s="3"/>
      <c r="B1" s="22" t="s">
        <v>0</v>
      </c>
      <c r="C1" s="24"/>
      <c r="D1" s="24"/>
      <c r="E1" s="24"/>
      <c r="F1" s="24"/>
      <c r="G1" s="23"/>
      <c r="H1" s="22" t="s">
        <v>1</v>
      </c>
      <c r="I1" s="23"/>
      <c r="J1" s="31" t="s">
        <v>2</v>
      </c>
      <c r="K1" s="29" t="s">
        <v>3</v>
      </c>
      <c r="L1" s="30"/>
      <c r="M1" s="27" t="s">
        <v>4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x14ac:dyDescent="0.35">
      <c r="A2" s="3"/>
      <c r="B2" s="22" t="s">
        <v>5</v>
      </c>
      <c r="C2" s="24"/>
      <c r="D2" s="23"/>
      <c r="E2" s="22" t="s">
        <v>6</v>
      </c>
      <c r="F2" s="23"/>
      <c r="G2" s="25" t="s">
        <v>7</v>
      </c>
      <c r="H2" s="22" t="s">
        <v>6</v>
      </c>
      <c r="I2" s="23"/>
      <c r="J2" s="32"/>
      <c r="K2" t="s">
        <v>8</v>
      </c>
      <c r="L2" t="s">
        <v>9</v>
      </c>
      <c r="M2" s="22" t="s">
        <v>10</v>
      </c>
      <c r="N2" s="24"/>
      <c r="O2" s="24"/>
      <c r="P2" s="24"/>
      <c r="Q2" s="24"/>
      <c r="R2" s="23"/>
      <c r="S2" s="22" t="s">
        <v>11</v>
      </c>
      <c r="T2" s="23"/>
      <c r="U2" s="22" t="s">
        <v>12</v>
      </c>
      <c r="V2" s="24"/>
      <c r="W2" s="24"/>
      <c r="X2" s="24"/>
      <c r="Y2" s="24"/>
      <c r="Z2" s="23"/>
    </row>
    <row r="3" spans="1:26" x14ac:dyDescent="0.35">
      <c r="A3" s="5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26"/>
      <c r="H3" s="4" t="s">
        <v>17</v>
      </c>
      <c r="I3" s="4" t="s">
        <v>18</v>
      </c>
      <c r="J3" s="26"/>
      <c r="K3" t="s">
        <v>19</v>
      </c>
      <c r="L3" t="s">
        <v>20</v>
      </c>
      <c r="M3" s="22" t="s">
        <v>5</v>
      </c>
      <c r="N3" s="24"/>
      <c r="O3" s="23"/>
      <c r="P3" s="22" t="s">
        <v>6</v>
      </c>
      <c r="Q3" s="23"/>
      <c r="R3" s="25" t="s">
        <v>7</v>
      </c>
      <c r="S3" s="22" t="s">
        <v>6</v>
      </c>
      <c r="T3" s="23"/>
      <c r="U3" s="22" t="s">
        <v>5</v>
      </c>
      <c r="V3" s="24"/>
      <c r="W3" s="23"/>
      <c r="X3" s="22" t="s">
        <v>6</v>
      </c>
      <c r="Y3" s="23"/>
      <c r="Z3" s="25" t="s">
        <v>7</v>
      </c>
    </row>
    <row r="4" spans="1:26" x14ac:dyDescent="0.35">
      <c r="A4" s="1" t="s">
        <v>21</v>
      </c>
      <c r="B4">
        <v>26</v>
      </c>
      <c r="C4">
        <v>99</v>
      </c>
      <c r="D4">
        <v>38</v>
      </c>
      <c r="E4">
        <v>26</v>
      </c>
      <c r="F4">
        <v>28</v>
      </c>
      <c r="G4">
        <v>41</v>
      </c>
      <c r="H4">
        <v>4</v>
      </c>
      <c r="I4">
        <v>4</v>
      </c>
      <c r="J4">
        <v>709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26"/>
      <c r="S4" s="4" t="s">
        <v>17</v>
      </c>
      <c r="T4" s="4" t="s">
        <v>18</v>
      </c>
      <c r="U4" s="4" t="s">
        <v>14</v>
      </c>
      <c r="V4" s="4" t="s">
        <v>15</v>
      </c>
      <c r="W4" s="4" t="s">
        <v>16</v>
      </c>
      <c r="X4" s="4" t="s">
        <v>17</v>
      </c>
      <c r="Y4" s="4" t="s">
        <v>18</v>
      </c>
      <c r="Z4" s="26"/>
    </row>
    <row r="5" spans="1:26" x14ac:dyDescent="0.35">
      <c r="A5" s="1" t="s">
        <v>22</v>
      </c>
      <c r="B5">
        <v>40</v>
      </c>
      <c r="C5">
        <v>97</v>
      </c>
      <c r="D5">
        <v>76</v>
      </c>
      <c r="E5">
        <v>69</v>
      </c>
      <c r="F5">
        <v>27</v>
      </c>
      <c r="G5">
        <v>56</v>
      </c>
      <c r="H5">
        <v>4</v>
      </c>
      <c r="I5">
        <v>4</v>
      </c>
      <c r="J5">
        <v>606</v>
      </c>
      <c r="M5">
        <v>32</v>
      </c>
      <c r="N5">
        <v>37</v>
      </c>
      <c r="O5">
        <v>30</v>
      </c>
      <c r="P5">
        <v>25</v>
      </c>
      <c r="Q5">
        <v>20</v>
      </c>
      <c r="R5">
        <v>40</v>
      </c>
      <c r="S5">
        <v>15</v>
      </c>
      <c r="T5">
        <v>18</v>
      </c>
      <c r="U5">
        <v>10</v>
      </c>
      <c r="V5">
        <v>8</v>
      </c>
      <c r="W5">
        <v>9</v>
      </c>
      <c r="X5">
        <v>13</v>
      </c>
      <c r="Y5">
        <v>15</v>
      </c>
      <c r="Z5">
        <v>20</v>
      </c>
    </row>
    <row r="6" spans="1:26" x14ac:dyDescent="0.35">
      <c r="A6" s="1" t="s">
        <v>23</v>
      </c>
      <c r="B6">
        <v>98</v>
      </c>
      <c r="C6">
        <v>24</v>
      </c>
      <c r="D6">
        <v>43</v>
      </c>
      <c r="E6">
        <v>54</v>
      </c>
      <c r="F6">
        <v>56</v>
      </c>
      <c r="G6">
        <v>88</v>
      </c>
      <c r="H6">
        <v>1</v>
      </c>
      <c r="I6">
        <v>20</v>
      </c>
      <c r="J6">
        <v>699</v>
      </c>
    </row>
    <row r="7" spans="1:26" x14ac:dyDescent="0.35">
      <c r="A7" s="1" t="s">
        <v>24</v>
      </c>
      <c r="B7">
        <v>80</v>
      </c>
      <c r="C7">
        <v>31</v>
      </c>
      <c r="D7">
        <v>14</v>
      </c>
      <c r="E7">
        <v>94</v>
      </c>
      <c r="F7">
        <v>81</v>
      </c>
      <c r="G7">
        <v>97</v>
      </c>
      <c r="H7">
        <v>5</v>
      </c>
      <c r="I7">
        <v>12</v>
      </c>
      <c r="J7">
        <v>766</v>
      </c>
    </row>
    <row r="8" spans="1:26" x14ac:dyDescent="0.35">
      <c r="A8" s="1" t="s">
        <v>25</v>
      </c>
      <c r="B8">
        <v>39</v>
      </c>
      <c r="C8">
        <v>94</v>
      </c>
      <c r="D8">
        <v>7</v>
      </c>
      <c r="E8">
        <v>14</v>
      </c>
      <c r="F8">
        <v>41</v>
      </c>
      <c r="G8">
        <v>9</v>
      </c>
      <c r="H8">
        <v>5</v>
      </c>
      <c r="I8">
        <v>10</v>
      </c>
      <c r="J8">
        <v>796</v>
      </c>
      <c r="O8" s="2"/>
    </row>
    <row r="9" spans="1:26" x14ac:dyDescent="0.35">
      <c r="A9" s="1" t="s">
        <v>26</v>
      </c>
      <c r="B9">
        <v>53</v>
      </c>
      <c r="C9">
        <v>83</v>
      </c>
      <c r="D9">
        <v>83</v>
      </c>
      <c r="E9">
        <v>36</v>
      </c>
      <c r="F9">
        <v>34</v>
      </c>
      <c r="G9">
        <v>57</v>
      </c>
      <c r="H9">
        <v>3</v>
      </c>
      <c r="I9">
        <v>11</v>
      </c>
      <c r="J9">
        <v>798</v>
      </c>
    </row>
    <row r="10" spans="1:26" x14ac:dyDescent="0.35">
      <c r="A10" s="1" t="s">
        <v>27</v>
      </c>
      <c r="B10">
        <v>68</v>
      </c>
      <c r="C10">
        <v>98</v>
      </c>
      <c r="D10">
        <v>56</v>
      </c>
      <c r="E10">
        <v>69</v>
      </c>
      <c r="F10">
        <v>80</v>
      </c>
      <c r="G10">
        <v>95</v>
      </c>
      <c r="H10">
        <v>5</v>
      </c>
      <c r="I10">
        <v>3</v>
      </c>
      <c r="J10">
        <v>961</v>
      </c>
    </row>
    <row r="11" spans="1:26" x14ac:dyDescent="0.35">
      <c r="A11" s="1" t="s">
        <v>28</v>
      </c>
      <c r="B11">
        <v>81</v>
      </c>
      <c r="C11">
        <v>90</v>
      </c>
      <c r="D11">
        <v>76</v>
      </c>
      <c r="E11">
        <v>91</v>
      </c>
      <c r="F11">
        <v>100</v>
      </c>
      <c r="G11">
        <v>95</v>
      </c>
      <c r="H11">
        <v>19</v>
      </c>
      <c r="I11">
        <v>1</v>
      </c>
      <c r="J11">
        <v>530</v>
      </c>
    </row>
    <row r="12" spans="1:26" x14ac:dyDescent="0.35">
      <c r="A12" s="1" t="s">
        <v>29</v>
      </c>
      <c r="B12">
        <v>50</v>
      </c>
      <c r="C12">
        <v>75</v>
      </c>
      <c r="D12">
        <v>51</v>
      </c>
      <c r="E12">
        <v>18</v>
      </c>
      <c r="F12">
        <v>34</v>
      </c>
      <c r="G12">
        <v>17</v>
      </c>
      <c r="H12">
        <v>20</v>
      </c>
      <c r="I12">
        <v>9</v>
      </c>
      <c r="J12">
        <v>657</v>
      </c>
    </row>
    <row r="13" spans="1:26" x14ac:dyDescent="0.35">
      <c r="A13" s="1" t="s">
        <v>30</v>
      </c>
      <c r="B13">
        <v>47</v>
      </c>
      <c r="C13">
        <v>82</v>
      </c>
      <c r="D13">
        <v>30</v>
      </c>
      <c r="E13">
        <v>52</v>
      </c>
      <c r="F13">
        <v>47</v>
      </c>
      <c r="G13">
        <v>25</v>
      </c>
      <c r="H13">
        <v>2</v>
      </c>
      <c r="I13">
        <v>14</v>
      </c>
      <c r="J13">
        <v>930</v>
      </c>
    </row>
    <row r="14" spans="1:26" x14ac:dyDescent="0.35">
      <c r="A14" s="1" t="s">
        <v>31</v>
      </c>
      <c r="B14">
        <v>71</v>
      </c>
      <c r="C14">
        <v>22</v>
      </c>
      <c r="D14">
        <v>35</v>
      </c>
      <c r="E14">
        <v>54</v>
      </c>
      <c r="F14">
        <v>78</v>
      </c>
      <c r="G14">
        <v>84</v>
      </c>
      <c r="H14">
        <v>9</v>
      </c>
      <c r="I14">
        <v>5</v>
      </c>
      <c r="J14">
        <v>941</v>
      </c>
    </row>
    <row r="15" spans="1:26" x14ac:dyDescent="0.35">
      <c r="A15" s="1" t="s">
        <v>32</v>
      </c>
      <c r="B15">
        <v>99</v>
      </c>
      <c r="C15">
        <v>31</v>
      </c>
      <c r="D15">
        <v>48</v>
      </c>
      <c r="E15">
        <v>78</v>
      </c>
      <c r="F15">
        <v>91</v>
      </c>
      <c r="G15">
        <v>95</v>
      </c>
      <c r="H15">
        <v>16</v>
      </c>
      <c r="I15">
        <v>1</v>
      </c>
      <c r="J15">
        <v>623</v>
      </c>
    </row>
    <row r="16" spans="1:26" x14ac:dyDescent="0.35">
      <c r="A16" s="1" t="s">
        <v>33</v>
      </c>
      <c r="B16">
        <v>27</v>
      </c>
      <c r="C16">
        <v>13</v>
      </c>
      <c r="D16">
        <v>33</v>
      </c>
      <c r="E16">
        <v>42</v>
      </c>
      <c r="F16">
        <v>19</v>
      </c>
      <c r="G16">
        <v>32</v>
      </c>
      <c r="H16">
        <v>6</v>
      </c>
      <c r="I16">
        <v>7</v>
      </c>
      <c r="J16">
        <v>820</v>
      </c>
    </row>
    <row r="17" spans="1:10" x14ac:dyDescent="0.35">
      <c r="A17" s="1" t="s">
        <v>34</v>
      </c>
      <c r="B17">
        <v>67</v>
      </c>
      <c r="C17">
        <v>1</v>
      </c>
      <c r="D17">
        <v>24</v>
      </c>
      <c r="E17">
        <v>67</v>
      </c>
      <c r="F17">
        <v>31</v>
      </c>
      <c r="G17">
        <v>46</v>
      </c>
      <c r="H17">
        <v>1</v>
      </c>
      <c r="I17">
        <v>15</v>
      </c>
      <c r="J17">
        <v>691</v>
      </c>
    </row>
    <row r="18" spans="1:10" x14ac:dyDescent="0.35">
      <c r="A18" s="1" t="s">
        <v>35</v>
      </c>
      <c r="B18">
        <v>97</v>
      </c>
      <c r="C18">
        <v>59</v>
      </c>
      <c r="D18">
        <v>58</v>
      </c>
      <c r="E18">
        <v>91</v>
      </c>
      <c r="F18">
        <v>90</v>
      </c>
      <c r="G18">
        <v>77</v>
      </c>
      <c r="H18">
        <v>4</v>
      </c>
      <c r="I18">
        <v>18</v>
      </c>
      <c r="J18">
        <v>827</v>
      </c>
    </row>
    <row r="19" spans="1:10" x14ac:dyDescent="0.35">
      <c r="A19" s="1" t="s">
        <v>36</v>
      </c>
      <c r="B19">
        <v>79</v>
      </c>
      <c r="C19">
        <v>73</v>
      </c>
      <c r="D19">
        <v>97</v>
      </c>
      <c r="E19">
        <v>89</v>
      </c>
      <c r="F19">
        <v>100</v>
      </c>
      <c r="G19">
        <v>97</v>
      </c>
      <c r="H19">
        <v>13</v>
      </c>
      <c r="I19">
        <v>4</v>
      </c>
      <c r="J19">
        <v>710</v>
      </c>
    </row>
    <row r="20" spans="1:10" x14ac:dyDescent="0.35">
      <c r="A20" s="1" t="s">
        <v>37</v>
      </c>
      <c r="B20">
        <v>32</v>
      </c>
      <c r="C20">
        <v>92</v>
      </c>
      <c r="D20">
        <v>94</v>
      </c>
      <c r="E20">
        <v>34</v>
      </c>
      <c r="F20">
        <v>49</v>
      </c>
      <c r="G20">
        <v>11</v>
      </c>
      <c r="H20">
        <v>6</v>
      </c>
      <c r="I20">
        <v>18</v>
      </c>
      <c r="J20">
        <v>547</v>
      </c>
    </row>
    <row r="21" spans="1:10" x14ac:dyDescent="0.35">
      <c r="A21" s="1" t="s">
        <v>38</v>
      </c>
      <c r="B21">
        <v>37</v>
      </c>
      <c r="C21">
        <v>19</v>
      </c>
      <c r="D21">
        <v>66</v>
      </c>
      <c r="E21">
        <v>37</v>
      </c>
      <c r="F21">
        <v>41</v>
      </c>
      <c r="G21">
        <v>63</v>
      </c>
      <c r="H21">
        <v>19</v>
      </c>
      <c r="I21">
        <v>3</v>
      </c>
      <c r="J21">
        <v>805</v>
      </c>
    </row>
    <row r="22" spans="1:10" x14ac:dyDescent="0.35">
      <c r="A22" s="1" t="s">
        <v>39</v>
      </c>
      <c r="B22">
        <v>95</v>
      </c>
      <c r="C22">
        <v>50</v>
      </c>
      <c r="D22">
        <v>76</v>
      </c>
      <c r="E22">
        <v>63</v>
      </c>
      <c r="F22">
        <v>53</v>
      </c>
      <c r="G22">
        <v>57</v>
      </c>
      <c r="H22">
        <v>17</v>
      </c>
      <c r="I22">
        <v>12</v>
      </c>
      <c r="J22">
        <v>720</v>
      </c>
    </row>
    <row r="23" spans="1:10" x14ac:dyDescent="0.35">
      <c r="A23" s="1" t="s">
        <v>40</v>
      </c>
      <c r="B23">
        <v>100</v>
      </c>
      <c r="C23">
        <v>52</v>
      </c>
      <c r="D23">
        <v>44</v>
      </c>
      <c r="E23">
        <v>93</v>
      </c>
      <c r="F23">
        <v>90</v>
      </c>
      <c r="G23">
        <v>89</v>
      </c>
      <c r="H23">
        <v>5</v>
      </c>
      <c r="I23">
        <v>18</v>
      </c>
      <c r="J23">
        <v>563</v>
      </c>
    </row>
    <row r="24" spans="1:10" x14ac:dyDescent="0.35">
      <c r="A24" s="1" t="s">
        <v>41</v>
      </c>
      <c r="B24">
        <v>37</v>
      </c>
      <c r="C24">
        <v>13</v>
      </c>
      <c r="D24">
        <v>86</v>
      </c>
      <c r="E24">
        <v>15</v>
      </c>
      <c r="F24">
        <v>34</v>
      </c>
      <c r="G24">
        <v>17</v>
      </c>
      <c r="H24">
        <v>19</v>
      </c>
      <c r="I24">
        <v>19</v>
      </c>
      <c r="J24">
        <v>776</v>
      </c>
    </row>
    <row r="25" spans="1:10" x14ac:dyDescent="0.35">
      <c r="A25" s="1" t="s">
        <v>42</v>
      </c>
      <c r="B25">
        <v>67</v>
      </c>
      <c r="C25">
        <v>77</v>
      </c>
      <c r="D25">
        <v>69</v>
      </c>
      <c r="E25">
        <v>51</v>
      </c>
      <c r="F25">
        <v>71</v>
      </c>
      <c r="G25">
        <v>45</v>
      </c>
      <c r="H25">
        <v>13</v>
      </c>
      <c r="I25">
        <v>14</v>
      </c>
      <c r="J25">
        <v>917</v>
      </c>
    </row>
    <row r="26" spans="1:10" x14ac:dyDescent="0.35">
      <c r="A26" s="1" t="s">
        <v>43</v>
      </c>
      <c r="B26">
        <v>83</v>
      </c>
      <c r="C26">
        <v>18</v>
      </c>
      <c r="D26">
        <v>59</v>
      </c>
      <c r="E26">
        <v>72</v>
      </c>
      <c r="F26">
        <v>88</v>
      </c>
      <c r="G26">
        <v>82</v>
      </c>
      <c r="H26">
        <v>8</v>
      </c>
      <c r="I26">
        <v>3</v>
      </c>
      <c r="J26">
        <v>514</v>
      </c>
    </row>
    <row r="27" spans="1:10" x14ac:dyDescent="0.35">
      <c r="A27" s="1" t="s">
        <v>44</v>
      </c>
      <c r="B27">
        <v>91</v>
      </c>
      <c r="C27">
        <v>79</v>
      </c>
      <c r="D27">
        <v>63</v>
      </c>
      <c r="E27">
        <v>82</v>
      </c>
      <c r="F27">
        <v>75</v>
      </c>
      <c r="G27">
        <v>76</v>
      </c>
      <c r="H27">
        <v>6</v>
      </c>
      <c r="I27">
        <v>7</v>
      </c>
      <c r="J27">
        <v>922</v>
      </c>
    </row>
    <row r="28" spans="1:10" x14ac:dyDescent="0.35">
      <c r="A28" s="1" t="s">
        <v>45</v>
      </c>
      <c r="B28">
        <v>38</v>
      </c>
      <c r="C28">
        <v>65</v>
      </c>
      <c r="D28">
        <v>77</v>
      </c>
      <c r="E28">
        <v>12</v>
      </c>
      <c r="F28">
        <v>16</v>
      </c>
      <c r="G28">
        <v>24</v>
      </c>
      <c r="H28">
        <v>7</v>
      </c>
      <c r="I28">
        <v>1</v>
      </c>
      <c r="J28">
        <v>742</v>
      </c>
    </row>
    <row r="29" spans="1:10" x14ac:dyDescent="0.35">
      <c r="A29" s="1" t="s">
        <v>46</v>
      </c>
      <c r="B29">
        <v>70</v>
      </c>
      <c r="C29">
        <v>25</v>
      </c>
      <c r="D29">
        <v>62</v>
      </c>
      <c r="E29">
        <v>65</v>
      </c>
      <c r="F29">
        <v>43</v>
      </c>
      <c r="G29">
        <v>55</v>
      </c>
      <c r="H29">
        <v>13</v>
      </c>
      <c r="I29">
        <v>3</v>
      </c>
      <c r="J29">
        <v>948</v>
      </c>
    </row>
    <row r="30" spans="1:10" x14ac:dyDescent="0.35">
      <c r="A30" s="1" t="s">
        <v>47</v>
      </c>
      <c r="B30">
        <v>94</v>
      </c>
      <c r="C30">
        <v>28</v>
      </c>
      <c r="D30">
        <v>31</v>
      </c>
      <c r="E30">
        <v>54</v>
      </c>
      <c r="F30">
        <v>84</v>
      </c>
      <c r="G30">
        <v>64</v>
      </c>
      <c r="H30">
        <v>8</v>
      </c>
      <c r="I30">
        <v>1</v>
      </c>
      <c r="J30">
        <v>595</v>
      </c>
    </row>
    <row r="31" spans="1:10" x14ac:dyDescent="0.35">
      <c r="A31" s="1" t="s">
        <v>48</v>
      </c>
      <c r="B31">
        <v>80</v>
      </c>
      <c r="C31">
        <v>82</v>
      </c>
      <c r="D31">
        <v>9</v>
      </c>
      <c r="E31">
        <v>76</v>
      </c>
      <c r="F31">
        <v>96</v>
      </c>
      <c r="G31">
        <v>89</v>
      </c>
      <c r="H31">
        <v>15</v>
      </c>
      <c r="I31">
        <v>18</v>
      </c>
      <c r="J31">
        <v>609</v>
      </c>
    </row>
    <row r="32" spans="1:10" x14ac:dyDescent="0.35">
      <c r="A32" s="1" t="s">
        <v>49</v>
      </c>
      <c r="B32">
        <v>39</v>
      </c>
      <c r="C32">
        <v>80</v>
      </c>
      <c r="D32">
        <v>80</v>
      </c>
      <c r="E32">
        <v>1</v>
      </c>
      <c r="F32">
        <v>28</v>
      </c>
      <c r="G32">
        <v>35</v>
      </c>
      <c r="H32">
        <v>12</v>
      </c>
      <c r="I32">
        <v>15</v>
      </c>
      <c r="J32">
        <v>623</v>
      </c>
    </row>
    <row r="33" spans="1:10" x14ac:dyDescent="0.35">
      <c r="A33" s="1" t="s">
        <v>50</v>
      </c>
      <c r="B33">
        <v>43</v>
      </c>
      <c r="C33">
        <v>73</v>
      </c>
      <c r="D33">
        <v>83</v>
      </c>
      <c r="E33">
        <v>28</v>
      </c>
      <c r="F33">
        <v>46</v>
      </c>
      <c r="G33">
        <v>27</v>
      </c>
      <c r="H33">
        <v>10</v>
      </c>
      <c r="I33">
        <v>19</v>
      </c>
      <c r="J33">
        <v>972</v>
      </c>
    </row>
    <row r="34" spans="1:10" x14ac:dyDescent="0.35">
      <c r="A34" s="1" t="s">
        <v>51</v>
      </c>
      <c r="B34">
        <v>97</v>
      </c>
      <c r="C34">
        <v>59</v>
      </c>
      <c r="D34">
        <v>31</v>
      </c>
      <c r="E34">
        <v>70</v>
      </c>
      <c r="F34">
        <v>88</v>
      </c>
      <c r="G34">
        <v>97</v>
      </c>
      <c r="H34">
        <v>13</v>
      </c>
      <c r="I34">
        <v>9</v>
      </c>
      <c r="J34">
        <v>849</v>
      </c>
    </row>
    <row r="35" spans="1:10" x14ac:dyDescent="0.35">
      <c r="A35" s="1" t="s">
        <v>52</v>
      </c>
      <c r="B35">
        <v>96</v>
      </c>
      <c r="C35">
        <v>53</v>
      </c>
      <c r="D35">
        <v>92</v>
      </c>
      <c r="E35">
        <v>80</v>
      </c>
      <c r="F35">
        <v>79</v>
      </c>
      <c r="G35">
        <v>87</v>
      </c>
      <c r="H35">
        <v>12</v>
      </c>
      <c r="I35">
        <v>12</v>
      </c>
      <c r="J35">
        <v>582</v>
      </c>
    </row>
    <row r="36" spans="1:10" x14ac:dyDescent="0.35">
      <c r="A36" s="1" t="s">
        <v>53</v>
      </c>
      <c r="B36">
        <v>27</v>
      </c>
      <c r="C36">
        <v>66</v>
      </c>
      <c r="D36">
        <v>49</v>
      </c>
      <c r="E36">
        <v>7</v>
      </c>
      <c r="F36">
        <v>29</v>
      </c>
      <c r="G36">
        <v>11</v>
      </c>
      <c r="H36">
        <v>3</v>
      </c>
      <c r="I36">
        <v>11</v>
      </c>
      <c r="J36">
        <v>708</v>
      </c>
    </row>
    <row r="37" spans="1:10" x14ac:dyDescent="0.35">
      <c r="A37" s="1" t="s">
        <v>54</v>
      </c>
      <c r="B37">
        <v>28</v>
      </c>
      <c r="C37">
        <v>69</v>
      </c>
      <c r="D37">
        <v>26</v>
      </c>
      <c r="E37">
        <v>45</v>
      </c>
      <c r="F37">
        <v>32</v>
      </c>
      <c r="G37">
        <v>27</v>
      </c>
      <c r="H37">
        <v>10</v>
      </c>
      <c r="I37">
        <v>3</v>
      </c>
      <c r="J37">
        <v>675</v>
      </c>
    </row>
    <row r="38" spans="1:10" x14ac:dyDescent="0.35">
      <c r="A38" s="1" t="s">
        <v>55</v>
      </c>
      <c r="B38">
        <v>91</v>
      </c>
      <c r="C38">
        <v>85</v>
      </c>
      <c r="D38">
        <v>96</v>
      </c>
      <c r="E38">
        <v>80</v>
      </c>
      <c r="F38">
        <v>56</v>
      </c>
      <c r="G38">
        <v>87</v>
      </c>
      <c r="H38">
        <v>5</v>
      </c>
      <c r="I38">
        <v>13</v>
      </c>
      <c r="J38">
        <v>930</v>
      </c>
    </row>
    <row r="39" spans="1:10" x14ac:dyDescent="0.35">
      <c r="A39" s="1" t="s">
        <v>56</v>
      </c>
      <c r="B39">
        <v>83</v>
      </c>
      <c r="C39">
        <v>79</v>
      </c>
      <c r="D39">
        <v>13</v>
      </c>
      <c r="E39">
        <v>99</v>
      </c>
      <c r="F39">
        <v>98</v>
      </c>
      <c r="G39">
        <v>100</v>
      </c>
      <c r="H39">
        <v>12</v>
      </c>
      <c r="I39">
        <v>6</v>
      </c>
      <c r="J39">
        <v>964</v>
      </c>
    </row>
    <row r="40" spans="1:10" x14ac:dyDescent="0.35">
      <c r="A40" s="1" t="s">
        <v>57</v>
      </c>
      <c r="B40">
        <v>33</v>
      </c>
      <c r="C40">
        <v>96</v>
      </c>
      <c r="D40">
        <v>88</v>
      </c>
      <c r="E40">
        <v>32</v>
      </c>
      <c r="F40">
        <v>40</v>
      </c>
      <c r="G40">
        <v>4</v>
      </c>
      <c r="H40">
        <v>5</v>
      </c>
      <c r="I40">
        <v>8</v>
      </c>
      <c r="J40">
        <v>677</v>
      </c>
    </row>
    <row r="41" spans="1:10" x14ac:dyDescent="0.35">
      <c r="A41" s="1" t="s">
        <v>58</v>
      </c>
      <c r="B41">
        <v>51</v>
      </c>
      <c r="C41">
        <v>77</v>
      </c>
      <c r="D41">
        <v>29</v>
      </c>
      <c r="E41">
        <v>58</v>
      </c>
      <c r="F41">
        <v>62</v>
      </c>
      <c r="G41">
        <v>64</v>
      </c>
      <c r="H41">
        <v>15</v>
      </c>
      <c r="I41">
        <v>6</v>
      </c>
      <c r="J41">
        <v>798</v>
      </c>
    </row>
    <row r="42" spans="1:10" x14ac:dyDescent="0.35">
      <c r="A42" s="1" t="s">
        <v>59</v>
      </c>
      <c r="B42">
        <v>74</v>
      </c>
      <c r="C42">
        <v>8</v>
      </c>
      <c r="D42">
        <v>94</v>
      </c>
      <c r="E42">
        <v>91</v>
      </c>
      <c r="F42">
        <v>99</v>
      </c>
      <c r="G42">
        <v>62</v>
      </c>
      <c r="H42">
        <v>4</v>
      </c>
      <c r="I42">
        <v>3</v>
      </c>
      <c r="J42">
        <v>598</v>
      </c>
    </row>
    <row r="43" spans="1:10" x14ac:dyDescent="0.35">
      <c r="A43" s="1" t="s">
        <v>60</v>
      </c>
      <c r="B43">
        <v>94</v>
      </c>
      <c r="C43">
        <v>81</v>
      </c>
      <c r="D43">
        <v>58</v>
      </c>
      <c r="E43">
        <v>88</v>
      </c>
      <c r="F43">
        <v>81</v>
      </c>
      <c r="G43">
        <v>79</v>
      </c>
      <c r="H43">
        <v>4</v>
      </c>
      <c r="I43">
        <v>10</v>
      </c>
      <c r="J43">
        <v>948</v>
      </c>
    </row>
    <row r="44" spans="1:10" x14ac:dyDescent="0.35">
      <c r="A44" s="1" t="s">
        <v>61</v>
      </c>
      <c r="B44">
        <v>21</v>
      </c>
      <c r="C44">
        <v>66</v>
      </c>
      <c r="D44">
        <v>49</v>
      </c>
      <c r="E44">
        <v>2</v>
      </c>
      <c r="F44">
        <v>21</v>
      </c>
      <c r="G44">
        <v>2</v>
      </c>
      <c r="H44">
        <v>14</v>
      </c>
      <c r="I44">
        <v>18</v>
      </c>
      <c r="J44">
        <v>813</v>
      </c>
    </row>
    <row r="45" spans="1:10" x14ac:dyDescent="0.35">
      <c r="A45" s="1" t="s">
        <v>62</v>
      </c>
      <c r="B45">
        <v>36</v>
      </c>
      <c r="C45">
        <v>28</v>
      </c>
      <c r="D45">
        <v>68</v>
      </c>
      <c r="E45">
        <v>64</v>
      </c>
      <c r="F45">
        <v>46</v>
      </c>
      <c r="G45">
        <v>35</v>
      </c>
      <c r="H45">
        <v>2</v>
      </c>
      <c r="I45">
        <v>15</v>
      </c>
      <c r="J45">
        <v>683</v>
      </c>
    </row>
    <row r="46" spans="1:10" x14ac:dyDescent="0.35">
      <c r="A46" s="1" t="s">
        <v>63</v>
      </c>
      <c r="B46">
        <v>71</v>
      </c>
      <c r="C46">
        <v>69</v>
      </c>
      <c r="D46">
        <v>75</v>
      </c>
      <c r="E46">
        <v>77</v>
      </c>
      <c r="F46">
        <v>58</v>
      </c>
      <c r="G46">
        <v>62</v>
      </c>
      <c r="H46">
        <v>7</v>
      </c>
      <c r="I46">
        <v>8</v>
      </c>
      <c r="J46">
        <v>862</v>
      </c>
    </row>
    <row r="47" spans="1:10" x14ac:dyDescent="0.35">
      <c r="A47" s="1" t="s">
        <v>64</v>
      </c>
      <c r="B47">
        <v>99</v>
      </c>
      <c r="C47">
        <v>50</v>
      </c>
      <c r="D47">
        <v>46</v>
      </c>
      <c r="E47">
        <v>86</v>
      </c>
      <c r="F47">
        <v>95</v>
      </c>
      <c r="G47">
        <v>97</v>
      </c>
      <c r="H47">
        <v>7</v>
      </c>
      <c r="I47">
        <v>11</v>
      </c>
      <c r="J47">
        <v>780</v>
      </c>
    </row>
    <row r="48" spans="1:10" x14ac:dyDescent="0.35">
      <c r="A48" s="1" t="s">
        <v>65</v>
      </c>
      <c r="B48">
        <v>21</v>
      </c>
      <c r="C48">
        <v>77</v>
      </c>
      <c r="D48">
        <v>11</v>
      </c>
      <c r="E48">
        <v>34</v>
      </c>
      <c r="F48">
        <v>18</v>
      </c>
      <c r="G48">
        <v>35</v>
      </c>
      <c r="H48">
        <v>15</v>
      </c>
      <c r="I48">
        <v>4</v>
      </c>
      <c r="J48">
        <v>766</v>
      </c>
    </row>
    <row r="49" spans="1:10" x14ac:dyDescent="0.35">
      <c r="A49" s="1" t="s">
        <v>66</v>
      </c>
      <c r="B49">
        <v>60</v>
      </c>
      <c r="C49">
        <v>33</v>
      </c>
      <c r="D49">
        <v>4</v>
      </c>
      <c r="E49">
        <v>55</v>
      </c>
      <c r="F49">
        <v>60</v>
      </c>
      <c r="G49">
        <v>36</v>
      </c>
      <c r="H49">
        <v>11</v>
      </c>
      <c r="I49">
        <v>19</v>
      </c>
      <c r="J49">
        <v>556</v>
      </c>
    </row>
    <row r="50" spans="1:10" x14ac:dyDescent="0.35">
      <c r="A50" s="1" t="s">
        <v>67</v>
      </c>
      <c r="B50">
        <v>58</v>
      </c>
      <c r="C50">
        <v>40</v>
      </c>
      <c r="D50">
        <v>86</v>
      </c>
      <c r="E50">
        <v>53</v>
      </c>
      <c r="F50">
        <v>81</v>
      </c>
      <c r="G50">
        <v>53</v>
      </c>
      <c r="H50">
        <v>12</v>
      </c>
      <c r="I50">
        <v>16</v>
      </c>
      <c r="J50">
        <v>967</v>
      </c>
    </row>
    <row r="51" spans="1:10" x14ac:dyDescent="0.35">
      <c r="A51" s="1" t="s">
        <v>68</v>
      </c>
      <c r="B51">
        <v>93</v>
      </c>
      <c r="C51">
        <v>74</v>
      </c>
      <c r="D51">
        <v>1</v>
      </c>
      <c r="E51">
        <v>79</v>
      </c>
      <c r="F51">
        <v>97</v>
      </c>
      <c r="G51">
        <v>97</v>
      </c>
      <c r="H51">
        <v>18</v>
      </c>
      <c r="I51">
        <v>11</v>
      </c>
      <c r="J51">
        <v>527</v>
      </c>
    </row>
    <row r="52" spans="1:10" x14ac:dyDescent="0.35">
      <c r="A52" s="1" t="s">
        <v>69</v>
      </c>
      <c r="B52">
        <v>7</v>
      </c>
      <c r="C52">
        <v>19</v>
      </c>
      <c r="D52">
        <v>22</v>
      </c>
      <c r="E52">
        <v>46</v>
      </c>
      <c r="F52">
        <v>49</v>
      </c>
      <c r="G52">
        <v>3</v>
      </c>
      <c r="H52">
        <v>15</v>
      </c>
      <c r="I52">
        <v>15</v>
      </c>
      <c r="J52">
        <v>895</v>
      </c>
    </row>
    <row r="53" spans="1:10" x14ac:dyDescent="0.35">
      <c r="A53" s="1" t="s">
        <v>70</v>
      </c>
      <c r="B53">
        <v>60</v>
      </c>
      <c r="C53">
        <v>41</v>
      </c>
      <c r="D53">
        <v>4</v>
      </c>
      <c r="E53">
        <v>64</v>
      </c>
      <c r="F53">
        <v>42</v>
      </c>
      <c r="G53">
        <v>69</v>
      </c>
      <c r="H53">
        <v>10</v>
      </c>
      <c r="I53">
        <v>19</v>
      </c>
      <c r="J53">
        <v>716</v>
      </c>
    </row>
    <row r="54" spans="1:10" x14ac:dyDescent="0.35">
      <c r="A54" s="1" t="s">
        <v>71</v>
      </c>
      <c r="B54">
        <v>80</v>
      </c>
      <c r="C54">
        <v>7</v>
      </c>
      <c r="D54">
        <v>61</v>
      </c>
      <c r="E54">
        <v>75</v>
      </c>
      <c r="F54">
        <v>77</v>
      </c>
      <c r="G54">
        <v>69</v>
      </c>
      <c r="H54">
        <v>8</v>
      </c>
      <c r="I54">
        <v>10</v>
      </c>
      <c r="J54">
        <v>812</v>
      </c>
    </row>
    <row r="55" spans="1:10" x14ac:dyDescent="0.35">
      <c r="A55" s="1" t="s">
        <v>72</v>
      </c>
      <c r="B55">
        <v>77</v>
      </c>
      <c r="C55">
        <v>17</v>
      </c>
      <c r="D55">
        <v>81</v>
      </c>
      <c r="E55">
        <v>100</v>
      </c>
      <c r="F55">
        <v>85</v>
      </c>
      <c r="G55">
        <v>95</v>
      </c>
      <c r="H55">
        <v>17</v>
      </c>
      <c r="I55">
        <v>4</v>
      </c>
      <c r="J55">
        <v>690</v>
      </c>
    </row>
    <row r="56" spans="1:10" x14ac:dyDescent="0.35">
      <c r="A56" s="1" t="s">
        <v>73</v>
      </c>
      <c r="B56">
        <v>1</v>
      </c>
      <c r="C56">
        <v>53</v>
      </c>
      <c r="D56">
        <v>86</v>
      </c>
      <c r="E56">
        <v>39</v>
      </c>
      <c r="F56">
        <v>41</v>
      </c>
      <c r="G56">
        <v>25</v>
      </c>
      <c r="H56">
        <v>15</v>
      </c>
      <c r="I56">
        <v>1</v>
      </c>
      <c r="J56">
        <v>924</v>
      </c>
    </row>
    <row r="57" spans="1:10" x14ac:dyDescent="0.35">
      <c r="A57" s="1" t="s">
        <v>74</v>
      </c>
      <c r="B57">
        <v>64</v>
      </c>
      <c r="C57">
        <v>89</v>
      </c>
      <c r="D57">
        <v>46</v>
      </c>
      <c r="E57">
        <v>28</v>
      </c>
      <c r="F57">
        <v>27</v>
      </c>
      <c r="G57">
        <v>46</v>
      </c>
      <c r="H57">
        <v>10</v>
      </c>
      <c r="I57">
        <v>12</v>
      </c>
      <c r="J57">
        <v>761</v>
      </c>
    </row>
    <row r="58" spans="1:10" x14ac:dyDescent="0.35">
      <c r="A58" s="1" t="s">
        <v>75</v>
      </c>
      <c r="B58">
        <v>89</v>
      </c>
      <c r="C58">
        <v>46</v>
      </c>
      <c r="D58">
        <v>70</v>
      </c>
      <c r="E58">
        <v>50</v>
      </c>
      <c r="F58">
        <v>83</v>
      </c>
      <c r="G58">
        <v>55</v>
      </c>
      <c r="H58">
        <v>11</v>
      </c>
      <c r="I58">
        <v>15</v>
      </c>
      <c r="J58">
        <v>515</v>
      </c>
    </row>
    <row r="59" spans="1:10" x14ac:dyDescent="0.35">
      <c r="A59" s="1" t="s">
        <v>76</v>
      </c>
      <c r="B59">
        <v>81</v>
      </c>
      <c r="C59">
        <v>1</v>
      </c>
      <c r="D59">
        <v>57</v>
      </c>
      <c r="E59">
        <v>95</v>
      </c>
      <c r="F59">
        <v>95</v>
      </c>
      <c r="G59">
        <v>80</v>
      </c>
      <c r="H59">
        <v>5</v>
      </c>
      <c r="I59">
        <v>1</v>
      </c>
      <c r="J59">
        <v>798</v>
      </c>
    </row>
    <row r="60" spans="1:10" x14ac:dyDescent="0.35">
      <c r="A60" s="1" t="s">
        <v>77</v>
      </c>
      <c r="B60">
        <v>44</v>
      </c>
      <c r="C60">
        <v>36</v>
      </c>
      <c r="D60">
        <v>90</v>
      </c>
      <c r="E60">
        <v>18</v>
      </c>
      <c r="F60">
        <v>1</v>
      </c>
      <c r="G60">
        <v>2</v>
      </c>
      <c r="H60">
        <v>1</v>
      </c>
      <c r="I60">
        <v>3</v>
      </c>
      <c r="J60">
        <v>812</v>
      </c>
    </row>
    <row r="61" spans="1:10" x14ac:dyDescent="0.35">
      <c r="A61" s="1" t="s">
        <v>78</v>
      </c>
      <c r="B61">
        <v>48</v>
      </c>
      <c r="C61">
        <v>77</v>
      </c>
      <c r="D61">
        <v>31</v>
      </c>
      <c r="E61">
        <v>38</v>
      </c>
      <c r="F61">
        <v>35</v>
      </c>
      <c r="G61">
        <v>34</v>
      </c>
      <c r="H61">
        <v>2</v>
      </c>
      <c r="I61">
        <v>4</v>
      </c>
      <c r="J61">
        <v>581</v>
      </c>
    </row>
    <row r="62" spans="1:10" x14ac:dyDescent="0.35">
      <c r="A62" s="1" t="s">
        <v>79</v>
      </c>
      <c r="B62">
        <v>77</v>
      </c>
      <c r="C62">
        <v>21</v>
      </c>
      <c r="D62">
        <v>30</v>
      </c>
      <c r="E62">
        <v>94</v>
      </c>
      <c r="F62">
        <v>84</v>
      </c>
      <c r="G62">
        <v>94</v>
      </c>
      <c r="H62">
        <v>1</v>
      </c>
      <c r="I62">
        <v>18</v>
      </c>
      <c r="J62">
        <v>750</v>
      </c>
    </row>
    <row r="63" spans="1:10" x14ac:dyDescent="0.35">
      <c r="A63" s="1" t="s">
        <v>80</v>
      </c>
      <c r="B63">
        <v>80</v>
      </c>
      <c r="C63">
        <v>92</v>
      </c>
      <c r="D63">
        <v>64</v>
      </c>
      <c r="E63">
        <v>83</v>
      </c>
      <c r="F63">
        <v>84</v>
      </c>
      <c r="G63">
        <v>86</v>
      </c>
      <c r="H63">
        <v>11</v>
      </c>
      <c r="I63">
        <v>7</v>
      </c>
      <c r="J63">
        <v>817</v>
      </c>
    </row>
    <row r="64" spans="1:10" x14ac:dyDescent="0.35">
      <c r="A64" s="1" t="s">
        <v>81</v>
      </c>
      <c r="B64">
        <v>2</v>
      </c>
      <c r="C64">
        <v>75</v>
      </c>
      <c r="D64">
        <v>14</v>
      </c>
      <c r="E64">
        <v>20</v>
      </c>
      <c r="F64">
        <v>33</v>
      </c>
      <c r="G64">
        <v>32</v>
      </c>
      <c r="H64">
        <v>18</v>
      </c>
      <c r="I64">
        <v>7</v>
      </c>
      <c r="J64">
        <v>847</v>
      </c>
    </row>
    <row r="65" spans="1:10" x14ac:dyDescent="0.35">
      <c r="A65" s="1" t="s">
        <v>82</v>
      </c>
      <c r="B65">
        <v>71</v>
      </c>
      <c r="C65">
        <v>7</v>
      </c>
      <c r="D65">
        <v>74</v>
      </c>
      <c r="E65">
        <v>35</v>
      </c>
      <c r="F65">
        <v>38</v>
      </c>
      <c r="G65">
        <v>29</v>
      </c>
      <c r="H65">
        <v>14</v>
      </c>
      <c r="I65">
        <v>10</v>
      </c>
      <c r="J65">
        <v>761</v>
      </c>
    </row>
    <row r="66" spans="1:10" x14ac:dyDescent="0.35">
      <c r="A66" s="1" t="s">
        <v>83</v>
      </c>
      <c r="B66">
        <v>82</v>
      </c>
      <c r="C66">
        <v>31</v>
      </c>
      <c r="D66">
        <v>19</v>
      </c>
      <c r="E66">
        <v>75</v>
      </c>
      <c r="F66">
        <v>79</v>
      </c>
      <c r="G66">
        <v>73</v>
      </c>
      <c r="H66">
        <v>4</v>
      </c>
      <c r="I66">
        <v>4</v>
      </c>
      <c r="J66">
        <v>818</v>
      </c>
    </row>
    <row r="67" spans="1:10" x14ac:dyDescent="0.35">
      <c r="A67" s="1" t="s">
        <v>84</v>
      </c>
      <c r="B67">
        <v>89</v>
      </c>
      <c r="C67">
        <v>35</v>
      </c>
      <c r="D67">
        <v>39</v>
      </c>
      <c r="E67">
        <v>90</v>
      </c>
      <c r="F67">
        <v>95</v>
      </c>
      <c r="G67">
        <v>84</v>
      </c>
      <c r="H67">
        <v>6</v>
      </c>
      <c r="I67">
        <v>3</v>
      </c>
      <c r="J67">
        <v>801</v>
      </c>
    </row>
    <row r="68" spans="1:10" x14ac:dyDescent="0.35">
      <c r="A68" s="1" t="s">
        <v>85</v>
      </c>
      <c r="B68">
        <v>26</v>
      </c>
      <c r="C68">
        <v>83</v>
      </c>
      <c r="D68">
        <v>66</v>
      </c>
      <c r="E68">
        <v>32</v>
      </c>
      <c r="F68">
        <v>39</v>
      </c>
      <c r="G68">
        <v>50</v>
      </c>
      <c r="H68">
        <v>9</v>
      </c>
      <c r="I68">
        <v>13</v>
      </c>
      <c r="J68">
        <v>593</v>
      </c>
    </row>
    <row r="69" spans="1:10" x14ac:dyDescent="0.35">
      <c r="A69" s="1" t="s">
        <v>86</v>
      </c>
      <c r="B69">
        <v>43</v>
      </c>
      <c r="C69">
        <v>11</v>
      </c>
      <c r="D69">
        <v>97</v>
      </c>
      <c r="E69">
        <v>32</v>
      </c>
      <c r="F69">
        <v>44</v>
      </c>
      <c r="G69">
        <v>32</v>
      </c>
      <c r="H69">
        <v>4</v>
      </c>
      <c r="I69">
        <v>2</v>
      </c>
      <c r="J69">
        <v>509</v>
      </c>
    </row>
    <row r="70" spans="1:10" x14ac:dyDescent="0.35">
      <c r="A70" s="1" t="s">
        <v>87</v>
      </c>
      <c r="B70">
        <v>84</v>
      </c>
      <c r="C70">
        <v>81</v>
      </c>
      <c r="D70">
        <v>35</v>
      </c>
      <c r="E70">
        <v>50</v>
      </c>
      <c r="F70">
        <v>74</v>
      </c>
      <c r="G70">
        <v>57</v>
      </c>
      <c r="H70">
        <v>9</v>
      </c>
      <c r="I70">
        <v>20</v>
      </c>
      <c r="J70">
        <v>870</v>
      </c>
    </row>
    <row r="71" spans="1:10" x14ac:dyDescent="0.35">
      <c r="A71" s="1" t="s">
        <v>88</v>
      </c>
      <c r="B71">
        <v>91</v>
      </c>
      <c r="C71">
        <v>82</v>
      </c>
      <c r="D71">
        <v>41</v>
      </c>
      <c r="E71">
        <v>86</v>
      </c>
      <c r="F71">
        <v>98</v>
      </c>
      <c r="G71">
        <v>82</v>
      </c>
      <c r="H71">
        <v>6</v>
      </c>
      <c r="I71">
        <v>17</v>
      </c>
      <c r="J71">
        <v>631</v>
      </c>
    </row>
    <row r="72" spans="1:10" x14ac:dyDescent="0.35">
      <c r="A72" s="1" t="s">
        <v>89</v>
      </c>
      <c r="B72">
        <v>42</v>
      </c>
      <c r="C72">
        <v>33</v>
      </c>
      <c r="D72">
        <v>86</v>
      </c>
      <c r="E72">
        <v>9</v>
      </c>
      <c r="F72">
        <v>42</v>
      </c>
      <c r="G72">
        <v>38</v>
      </c>
      <c r="H72">
        <v>9</v>
      </c>
      <c r="I72">
        <v>19</v>
      </c>
      <c r="J72">
        <v>698</v>
      </c>
    </row>
    <row r="73" spans="1:10" x14ac:dyDescent="0.35">
      <c r="A73" s="1" t="s">
        <v>90</v>
      </c>
      <c r="B73">
        <v>73</v>
      </c>
      <c r="C73">
        <v>32</v>
      </c>
      <c r="D73">
        <v>99</v>
      </c>
      <c r="E73">
        <v>73</v>
      </c>
      <c r="F73">
        <v>62</v>
      </c>
      <c r="G73">
        <v>55</v>
      </c>
      <c r="H73">
        <v>19</v>
      </c>
      <c r="I73">
        <v>9</v>
      </c>
      <c r="J73">
        <v>584</v>
      </c>
    </row>
    <row r="74" spans="1:10" x14ac:dyDescent="0.35">
      <c r="A74" s="1" t="s">
        <v>91</v>
      </c>
      <c r="B74">
        <v>80</v>
      </c>
      <c r="C74">
        <v>34</v>
      </c>
      <c r="D74">
        <v>56</v>
      </c>
      <c r="E74">
        <v>70</v>
      </c>
      <c r="F74">
        <v>88</v>
      </c>
      <c r="G74">
        <v>81</v>
      </c>
      <c r="H74">
        <v>19</v>
      </c>
      <c r="I74">
        <v>8</v>
      </c>
      <c r="J74">
        <v>875</v>
      </c>
    </row>
    <row r="75" spans="1:10" x14ac:dyDescent="0.35">
      <c r="A75" s="1" t="s">
        <v>92</v>
      </c>
      <c r="B75">
        <v>93</v>
      </c>
      <c r="C75">
        <v>90</v>
      </c>
      <c r="D75">
        <v>48</v>
      </c>
      <c r="E75">
        <v>97</v>
      </c>
      <c r="F75">
        <v>96</v>
      </c>
      <c r="G75">
        <v>77</v>
      </c>
      <c r="H75">
        <v>20</v>
      </c>
      <c r="I75">
        <v>2</v>
      </c>
      <c r="J75">
        <v>785</v>
      </c>
    </row>
    <row r="76" spans="1:10" x14ac:dyDescent="0.35">
      <c r="A76" s="1" t="s">
        <v>93</v>
      </c>
      <c r="B76">
        <v>14</v>
      </c>
      <c r="C76">
        <v>38</v>
      </c>
      <c r="D76">
        <v>18</v>
      </c>
      <c r="E76">
        <v>42</v>
      </c>
      <c r="F76">
        <v>41</v>
      </c>
      <c r="G76">
        <v>46</v>
      </c>
      <c r="H76">
        <v>19</v>
      </c>
      <c r="I76">
        <v>13</v>
      </c>
      <c r="J76">
        <v>880</v>
      </c>
    </row>
    <row r="77" spans="1:10" x14ac:dyDescent="0.35">
      <c r="A77" s="1" t="s">
        <v>94</v>
      </c>
      <c r="B77">
        <v>53</v>
      </c>
      <c r="C77">
        <v>97</v>
      </c>
      <c r="D77">
        <v>15</v>
      </c>
      <c r="E77">
        <v>75</v>
      </c>
      <c r="F77">
        <v>61</v>
      </c>
      <c r="G77">
        <v>72</v>
      </c>
      <c r="H77">
        <v>6</v>
      </c>
      <c r="I77">
        <v>3</v>
      </c>
      <c r="J77">
        <v>715</v>
      </c>
    </row>
    <row r="78" spans="1:10" x14ac:dyDescent="0.35">
      <c r="A78" s="1" t="s">
        <v>95</v>
      </c>
      <c r="B78">
        <v>59</v>
      </c>
      <c r="C78">
        <v>13</v>
      </c>
      <c r="D78">
        <v>23</v>
      </c>
      <c r="E78">
        <v>69</v>
      </c>
      <c r="F78">
        <v>60</v>
      </c>
      <c r="G78">
        <v>68</v>
      </c>
      <c r="H78">
        <v>3</v>
      </c>
      <c r="I78">
        <v>18</v>
      </c>
      <c r="J78">
        <v>708</v>
      </c>
    </row>
    <row r="79" spans="1:10" x14ac:dyDescent="0.35">
      <c r="A79" s="1" t="s">
        <v>96</v>
      </c>
      <c r="B79">
        <v>93</v>
      </c>
      <c r="C79">
        <v>14</v>
      </c>
      <c r="D79">
        <v>22</v>
      </c>
      <c r="E79">
        <v>76</v>
      </c>
      <c r="F79">
        <v>80</v>
      </c>
      <c r="G79">
        <v>89</v>
      </c>
      <c r="H79">
        <v>8</v>
      </c>
      <c r="I79">
        <v>3</v>
      </c>
      <c r="J79">
        <v>852</v>
      </c>
    </row>
    <row r="80" spans="1:10" x14ac:dyDescent="0.35">
      <c r="A80" s="1" t="s">
        <v>97</v>
      </c>
      <c r="B80">
        <v>21</v>
      </c>
      <c r="C80">
        <v>73</v>
      </c>
      <c r="D80">
        <v>81</v>
      </c>
      <c r="E80">
        <v>31</v>
      </c>
      <c r="F80">
        <v>39</v>
      </c>
      <c r="G80">
        <v>21</v>
      </c>
      <c r="H80">
        <v>14</v>
      </c>
      <c r="I80">
        <v>16</v>
      </c>
      <c r="J80">
        <v>935</v>
      </c>
    </row>
    <row r="81" spans="1:10" x14ac:dyDescent="0.35">
      <c r="A81" s="1" t="s">
        <v>98</v>
      </c>
      <c r="B81">
        <v>62</v>
      </c>
      <c r="C81">
        <v>50</v>
      </c>
      <c r="D81">
        <v>73</v>
      </c>
      <c r="E81">
        <v>67</v>
      </c>
      <c r="F81">
        <v>75</v>
      </c>
      <c r="G81">
        <v>26</v>
      </c>
      <c r="H81">
        <v>12</v>
      </c>
      <c r="I81">
        <v>9</v>
      </c>
      <c r="J81">
        <v>512</v>
      </c>
    </row>
    <row r="82" spans="1:10" x14ac:dyDescent="0.35">
      <c r="A82" s="1" t="s">
        <v>99</v>
      </c>
      <c r="B82">
        <v>75</v>
      </c>
      <c r="C82">
        <v>63</v>
      </c>
      <c r="D82">
        <v>39</v>
      </c>
      <c r="E82">
        <v>83</v>
      </c>
      <c r="F82">
        <v>51</v>
      </c>
      <c r="G82">
        <v>69</v>
      </c>
      <c r="H82">
        <v>18</v>
      </c>
      <c r="I82">
        <v>13</v>
      </c>
      <c r="J82">
        <v>540</v>
      </c>
    </row>
    <row r="83" spans="1:10" x14ac:dyDescent="0.35">
      <c r="A83" s="1" t="s">
        <v>100</v>
      </c>
      <c r="B83">
        <v>79</v>
      </c>
      <c r="C83">
        <v>8</v>
      </c>
      <c r="D83">
        <v>34</v>
      </c>
      <c r="E83">
        <v>95</v>
      </c>
      <c r="F83">
        <v>83</v>
      </c>
      <c r="G83">
        <v>75</v>
      </c>
      <c r="H83">
        <v>17</v>
      </c>
      <c r="I83">
        <v>3</v>
      </c>
      <c r="J83">
        <v>986</v>
      </c>
    </row>
    <row r="84" spans="1:10" x14ac:dyDescent="0.35">
      <c r="A84" s="1" t="s">
        <v>101</v>
      </c>
      <c r="B84">
        <v>12</v>
      </c>
      <c r="C84">
        <v>49</v>
      </c>
      <c r="D84">
        <v>69</v>
      </c>
      <c r="E84">
        <v>33</v>
      </c>
      <c r="F84">
        <v>33</v>
      </c>
      <c r="G84">
        <v>6</v>
      </c>
      <c r="H84">
        <v>2</v>
      </c>
      <c r="I84">
        <v>2</v>
      </c>
      <c r="J84">
        <v>932</v>
      </c>
    </row>
    <row r="85" spans="1:10" x14ac:dyDescent="0.35">
      <c r="A85" s="1" t="s">
        <v>102</v>
      </c>
      <c r="B85">
        <v>53</v>
      </c>
      <c r="C85">
        <v>37</v>
      </c>
      <c r="D85">
        <v>24</v>
      </c>
      <c r="E85">
        <v>72</v>
      </c>
      <c r="F85">
        <v>30</v>
      </c>
      <c r="G85">
        <v>60</v>
      </c>
      <c r="H85">
        <v>6</v>
      </c>
      <c r="I85">
        <v>2</v>
      </c>
      <c r="J85">
        <v>520</v>
      </c>
    </row>
    <row r="86" spans="1:10" x14ac:dyDescent="0.35">
      <c r="A86" s="1" t="s">
        <v>103</v>
      </c>
      <c r="B86">
        <v>93</v>
      </c>
      <c r="C86">
        <v>54</v>
      </c>
      <c r="D86">
        <v>81</v>
      </c>
      <c r="E86">
        <v>90</v>
      </c>
      <c r="F86">
        <v>78</v>
      </c>
      <c r="G86">
        <v>98</v>
      </c>
      <c r="H86">
        <v>18</v>
      </c>
      <c r="I86">
        <v>3</v>
      </c>
      <c r="J86">
        <v>737</v>
      </c>
    </row>
    <row r="87" spans="1:10" x14ac:dyDescent="0.35">
      <c r="A87" s="1" t="s">
        <v>104</v>
      </c>
      <c r="B87">
        <v>94</v>
      </c>
      <c r="C87">
        <v>53</v>
      </c>
      <c r="D87">
        <v>85</v>
      </c>
      <c r="E87">
        <v>82</v>
      </c>
      <c r="F87">
        <v>79</v>
      </c>
      <c r="G87">
        <v>88</v>
      </c>
      <c r="H87">
        <v>10</v>
      </c>
      <c r="I87">
        <v>11</v>
      </c>
      <c r="J87">
        <v>849</v>
      </c>
    </row>
    <row r="88" spans="1:10" x14ac:dyDescent="0.35">
      <c r="A88" s="1" t="s">
        <v>105</v>
      </c>
      <c r="B88">
        <v>37</v>
      </c>
      <c r="C88">
        <v>96</v>
      </c>
      <c r="D88">
        <v>83</v>
      </c>
      <c r="E88">
        <v>12</v>
      </c>
      <c r="F88">
        <v>28</v>
      </c>
      <c r="G88">
        <v>7</v>
      </c>
      <c r="H88">
        <v>8</v>
      </c>
      <c r="I88">
        <v>15</v>
      </c>
      <c r="J88">
        <v>583</v>
      </c>
    </row>
    <row r="89" spans="1:10" x14ac:dyDescent="0.35">
      <c r="A89" s="1" t="s">
        <v>106</v>
      </c>
      <c r="B89">
        <v>68</v>
      </c>
      <c r="C89">
        <v>8</v>
      </c>
      <c r="D89">
        <v>46</v>
      </c>
      <c r="E89">
        <v>41</v>
      </c>
      <c r="F89">
        <v>56</v>
      </c>
      <c r="G89">
        <v>62</v>
      </c>
      <c r="H89">
        <v>16</v>
      </c>
      <c r="I89">
        <v>4</v>
      </c>
      <c r="J89">
        <v>958</v>
      </c>
    </row>
    <row r="90" spans="1:10" x14ac:dyDescent="0.35">
      <c r="A90" s="1" t="s">
        <v>107</v>
      </c>
      <c r="B90">
        <v>75</v>
      </c>
      <c r="C90">
        <v>72</v>
      </c>
      <c r="D90">
        <v>60</v>
      </c>
      <c r="E90">
        <v>61</v>
      </c>
      <c r="F90">
        <v>69</v>
      </c>
      <c r="G90">
        <v>58</v>
      </c>
      <c r="H90">
        <v>14</v>
      </c>
      <c r="I90">
        <v>18</v>
      </c>
      <c r="J90">
        <v>858</v>
      </c>
    </row>
    <row r="91" spans="1:10" x14ac:dyDescent="0.35">
      <c r="A91" s="1" t="s">
        <v>108</v>
      </c>
      <c r="B91">
        <v>78</v>
      </c>
      <c r="C91">
        <v>40</v>
      </c>
      <c r="D91">
        <v>55</v>
      </c>
      <c r="E91">
        <v>80</v>
      </c>
      <c r="F91">
        <v>100</v>
      </c>
      <c r="G91">
        <v>78</v>
      </c>
      <c r="H91">
        <v>11</v>
      </c>
      <c r="I91">
        <v>7</v>
      </c>
      <c r="J91">
        <v>727</v>
      </c>
    </row>
    <row r="92" spans="1:10" x14ac:dyDescent="0.35">
      <c r="A92" s="1" t="s">
        <v>109</v>
      </c>
      <c r="B92">
        <v>12</v>
      </c>
      <c r="C92">
        <v>85</v>
      </c>
      <c r="D92">
        <v>3</v>
      </c>
      <c r="E92">
        <v>37</v>
      </c>
      <c r="F92">
        <v>49</v>
      </c>
      <c r="G92">
        <v>10</v>
      </c>
      <c r="H92">
        <v>18</v>
      </c>
      <c r="I92">
        <v>15</v>
      </c>
      <c r="J92">
        <v>567</v>
      </c>
    </row>
    <row r="93" spans="1:10" x14ac:dyDescent="0.35">
      <c r="A93" s="1" t="s">
        <v>110</v>
      </c>
      <c r="B93">
        <v>61</v>
      </c>
      <c r="C93">
        <v>38</v>
      </c>
      <c r="D93">
        <v>62</v>
      </c>
      <c r="E93">
        <v>53</v>
      </c>
      <c r="F93">
        <v>69</v>
      </c>
      <c r="G93">
        <v>47</v>
      </c>
      <c r="H93">
        <v>6</v>
      </c>
      <c r="I93">
        <v>18</v>
      </c>
      <c r="J93">
        <v>699</v>
      </c>
    </row>
    <row r="94" spans="1:10" x14ac:dyDescent="0.35">
      <c r="A94" s="1" t="s">
        <v>111</v>
      </c>
      <c r="B94">
        <v>99</v>
      </c>
      <c r="C94">
        <v>77</v>
      </c>
      <c r="D94">
        <v>25</v>
      </c>
      <c r="E94">
        <v>79</v>
      </c>
      <c r="F94">
        <v>64</v>
      </c>
      <c r="G94">
        <v>79</v>
      </c>
      <c r="H94">
        <v>11</v>
      </c>
      <c r="I94">
        <v>12</v>
      </c>
      <c r="J94">
        <v>594</v>
      </c>
    </row>
    <row r="95" spans="1:10" x14ac:dyDescent="0.35">
      <c r="A95" s="1" t="s">
        <v>112</v>
      </c>
      <c r="B95">
        <v>89</v>
      </c>
      <c r="C95">
        <v>65</v>
      </c>
      <c r="D95">
        <v>99</v>
      </c>
      <c r="E95">
        <v>94</v>
      </c>
      <c r="F95">
        <v>85</v>
      </c>
      <c r="G95">
        <v>95</v>
      </c>
      <c r="H95">
        <v>18</v>
      </c>
      <c r="I95">
        <v>10</v>
      </c>
      <c r="J95">
        <v>618</v>
      </c>
    </row>
    <row r="96" spans="1:10" x14ac:dyDescent="0.35">
      <c r="A96" s="1" t="s">
        <v>113</v>
      </c>
      <c r="B96">
        <v>42</v>
      </c>
      <c r="C96">
        <v>61</v>
      </c>
      <c r="D96">
        <v>78</v>
      </c>
      <c r="E96">
        <v>41</v>
      </c>
      <c r="F96">
        <v>1</v>
      </c>
      <c r="G96">
        <v>44</v>
      </c>
      <c r="H96">
        <v>4</v>
      </c>
      <c r="I96">
        <v>13</v>
      </c>
      <c r="J96">
        <v>869</v>
      </c>
    </row>
    <row r="97" spans="1:10" x14ac:dyDescent="0.35">
      <c r="A97" s="1" t="s">
        <v>114</v>
      </c>
      <c r="B97">
        <v>52</v>
      </c>
      <c r="C97">
        <v>42</v>
      </c>
      <c r="D97">
        <v>57</v>
      </c>
      <c r="E97">
        <v>27</v>
      </c>
      <c r="F97">
        <v>75</v>
      </c>
      <c r="G97">
        <v>45</v>
      </c>
      <c r="H97">
        <v>14</v>
      </c>
      <c r="I97">
        <v>16</v>
      </c>
      <c r="J97">
        <v>594</v>
      </c>
    </row>
    <row r="98" spans="1:10" x14ac:dyDescent="0.35">
      <c r="A98" s="1" t="s">
        <v>115</v>
      </c>
      <c r="B98">
        <v>69</v>
      </c>
      <c r="C98">
        <v>39</v>
      </c>
      <c r="D98">
        <v>95</v>
      </c>
      <c r="E98">
        <v>60</v>
      </c>
      <c r="F98">
        <v>50</v>
      </c>
      <c r="G98">
        <v>63</v>
      </c>
      <c r="H98">
        <v>5</v>
      </c>
      <c r="I98">
        <v>13</v>
      </c>
      <c r="J98">
        <v>770</v>
      </c>
    </row>
    <row r="99" spans="1:10" x14ac:dyDescent="0.35">
      <c r="A99" s="1" t="s">
        <v>116</v>
      </c>
      <c r="B99">
        <v>82</v>
      </c>
      <c r="C99">
        <v>17</v>
      </c>
      <c r="D99">
        <v>13</v>
      </c>
      <c r="E99">
        <v>78</v>
      </c>
      <c r="F99">
        <v>82</v>
      </c>
      <c r="G99">
        <v>91</v>
      </c>
      <c r="H99">
        <v>13</v>
      </c>
      <c r="I99">
        <v>15</v>
      </c>
      <c r="J99">
        <v>672</v>
      </c>
    </row>
    <row r="100" spans="1:10" x14ac:dyDescent="0.35">
      <c r="A100" s="1" t="s">
        <v>117</v>
      </c>
      <c r="B100">
        <v>24</v>
      </c>
      <c r="C100">
        <v>68</v>
      </c>
      <c r="D100">
        <v>13</v>
      </c>
      <c r="E100">
        <v>45</v>
      </c>
      <c r="F100">
        <v>11</v>
      </c>
      <c r="G100">
        <v>45</v>
      </c>
      <c r="H100">
        <v>15</v>
      </c>
      <c r="I100">
        <v>13</v>
      </c>
      <c r="J100">
        <v>576</v>
      </c>
    </row>
    <row r="101" spans="1:10" x14ac:dyDescent="0.35">
      <c r="A101" s="1" t="s">
        <v>118</v>
      </c>
      <c r="B101">
        <v>36</v>
      </c>
      <c r="C101">
        <v>88</v>
      </c>
      <c r="D101">
        <v>100</v>
      </c>
      <c r="E101">
        <v>53</v>
      </c>
      <c r="F101">
        <v>30</v>
      </c>
      <c r="G101">
        <v>69</v>
      </c>
      <c r="H101">
        <v>15</v>
      </c>
      <c r="I101">
        <v>11</v>
      </c>
      <c r="J101">
        <v>795</v>
      </c>
    </row>
    <row r="102" spans="1:10" x14ac:dyDescent="0.35">
      <c r="A102" s="1" t="s">
        <v>119</v>
      </c>
      <c r="B102">
        <v>61</v>
      </c>
      <c r="C102">
        <v>56</v>
      </c>
      <c r="D102">
        <v>95</v>
      </c>
      <c r="E102">
        <v>86</v>
      </c>
      <c r="F102">
        <v>60</v>
      </c>
      <c r="G102">
        <v>65</v>
      </c>
      <c r="H102">
        <v>7</v>
      </c>
      <c r="I102">
        <v>10</v>
      </c>
      <c r="J102">
        <v>725</v>
      </c>
    </row>
    <row r="103" spans="1:10" x14ac:dyDescent="0.35">
      <c r="A103" s="1" t="s">
        <v>120</v>
      </c>
      <c r="B103">
        <v>82</v>
      </c>
      <c r="C103">
        <v>99</v>
      </c>
      <c r="D103">
        <v>52</v>
      </c>
      <c r="E103">
        <v>94</v>
      </c>
      <c r="F103">
        <v>77</v>
      </c>
      <c r="G103">
        <v>98</v>
      </c>
      <c r="H103">
        <v>17</v>
      </c>
      <c r="I103">
        <v>3</v>
      </c>
      <c r="J103">
        <v>647</v>
      </c>
    </row>
    <row r="104" spans="1:10" x14ac:dyDescent="0.35">
      <c r="A104" s="1" t="s">
        <v>121</v>
      </c>
      <c r="B104">
        <v>24</v>
      </c>
      <c r="C104">
        <v>5</v>
      </c>
      <c r="D104">
        <v>71</v>
      </c>
      <c r="E104">
        <v>10</v>
      </c>
      <c r="F104">
        <v>15</v>
      </c>
      <c r="G104">
        <v>13</v>
      </c>
      <c r="H104">
        <v>8</v>
      </c>
      <c r="I104">
        <v>6</v>
      </c>
      <c r="J104">
        <v>677</v>
      </c>
    </row>
    <row r="105" spans="1:10" x14ac:dyDescent="0.35">
      <c r="A105" s="1" t="s">
        <v>122</v>
      </c>
      <c r="B105">
        <v>48</v>
      </c>
      <c r="C105">
        <v>67</v>
      </c>
      <c r="D105">
        <v>9</v>
      </c>
      <c r="E105">
        <v>55</v>
      </c>
      <c r="F105">
        <v>38</v>
      </c>
      <c r="G105">
        <v>44</v>
      </c>
      <c r="H105">
        <v>12</v>
      </c>
      <c r="I105">
        <v>11</v>
      </c>
      <c r="J105">
        <v>969</v>
      </c>
    </row>
    <row r="106" spans="1:10" x14ac:dyDescent="0.35">
      <c r="A106" s="1" t="s">
        <v>123</v>
      </c>
      <c r="B106">
        <v>90</v>
      </c>
      <c r="C106">
        <v>94</v>
      </c>
      <c r="D106">
        <v>31</v>
      </c>
      <c r="E106">
        <v>61</v>
      </c>
      <c r="F106">
        <v>61</v>
      </c>
      <c r="G106">
        <v>77</v>
      </c>
      <c r="H106">
        <v>10</v>
      </c>
      <c r="I106">
        <v>9</v>
      </c>
      <c r="J106">
        <v>581</v>
      </c>
    </row>
    <row r="107" spans="1:10" x14ac:dyDescent="0.35">
      <c r="A107" s="1" t="s">
        <v>124</v>
      </c>
      <c r="B107">
        <v>85</v>
      </c>
      <c r="C107">
        <v>86</v>
      </c>
      <c r="D107">
        <v>94</v>
      </c>
      <c r="E107">
        <v>78</v>
      </c>
      <c r="F107">
        <v>76</v>
      </c>
      <c r="G107">
        <v>96</v>
      </c>
      <c r="H107">
        <v>4</v>
      </c>
      <c r="I107">
        <v>13</v>
      </c>
      <c r="J107">
        <v>684</v>
      </c>
    </row>
    <row r="108" spans="1:10" x14ac:dyDescent="0.35">
      <c r="A108" s="1" t="s">
        <v>125</v>
      </c>
      <c r="B108">
        <v>13</v>
      </c>
      <c r="C108">
        <v>86</v>
      </c>
      <c r="D108">
        <v>30</v>
      </c>
      <c r="E108">
        <v>36</v>
      </c>
      <c r="F108">
        <v>11</v>
      </c>
      <c r="G108">
        <v>13</v>
      </c>
      <c r="H108">
        <v>5</v>
      </c>
      <c r="I108">
        <v>8</v>
      </c>
      <c r="J108">
        <v>943</v>
      </c>
    </row>
    <row r="109" spans="1:10" x14ac:dyDescent="0.35">
      <c r="A109" s="1" t="s">
        <v>126</v>
      </c>
      <c r="B109">
        <v>68</v>
      </c>
      <c r="C109">
        <v>51</v>
      </c>
      <c r="D109">
        <v>40</v>
      </c>
      <c r="E109">
        <v>28</v>
      </c>
      <c r="F109">
        <v>39</v>
      </c>
      <c r="G109">
        <v>58</v>
      </c>
      <c r="H109">
        <v>19</v>
      </c>
      <c r="I109">
        <v>2</v>
      </c>
      <c r="J109">
        <v>885</v>
      </c>
    </row>
    <row r="110" spans="1:10" x14ac:dyDescent="0.35">
      <c r="A110" s="1" t="s">
        <v>127</v>
      </c>
      <c r="B110">
        <v>63</v>
      </c>
      <c r="C110">
        <v>98</v>
      </c>
      <c r="D110">
        <v>3</v>
      </c>
      <c r="E110">
        <v>97</v>
      </c>
      <c r="F110">
        <v>57</v>
      </c>
      <c r="G110">
        <v>89</v>
      </c>
      <c r="H110">
        <v>15</v>
      </c>
      <c r="I110">
        <v>3</v>
      </c>
      <c r="J110">
        <v>753</v>
      </c>
    </row>
    <row r="111" spans="1:10" x14ac:dyDescent="0.35">
      <c r="A111" s="1" t="s">
        <v>128</v>
      </c>
      <c r="B111">
        <v>96</v>
      </c>
      <c r="C111">
        <v>6</v>
      </c>
      <c r="D111">
        <v>30</v>
      </c>
      <c r="E111">
        <v>83</v>
      </c>
      <c r="F111">
        <v>91</v>
      </c>
      <c r="G111">
        <v>88</v>
      </c>
      <c r="H111">
        <v>15</v>
      </c>
      <c r="I111">
        <v>4</v>
      </c>
      <c r="J111">
        <v>581</v>
      </c>
    </row>
    <row r="112" spans="1:10" x14ac:dyDescent="0.35">
      <c r="A112" s="1" t="s">
        <v>129</v>
      </c>
      <c r="B112">
        <v>22</v>
      </c>
      <c r="C112">
        <v>77</v>
      </c>
      <c r="D112">
        <v>56</v>
      </c>
      <c r="E112">
        <v>21</v>
      </c>
      <c r="F112">
        <v>9</v>
      </c>
      <c r="G112">
        <v>46</v>
      </c>
      <c r="H112">
        <v>4</v>
      </c>
      <c r="I112">
        <v>18</v>
      </c>
      <c r="J112">
        <v>740</v>
      </c>
    </row>
    <row r="113" spans="1:10" x14ac:dyDescent="0.35">
      <c r="A113" s="1" t="s">
        <v>130</v>
      </c>
      <c r="B113">
        <v>66</v>
      </c>
      <c r="C113">
        <v>89</v>
      </c>
      <c r="D113">
        <v>19</v>
      </c>
      <c r="E113">
        <v>60</v>
      </c>
      <c r="F113">
        <v>51</v>
      </c>
      <c r="G113">
        <v>64</v>
      </c>
      <c r="H113">
        <v>13</v>
      </c>
      <c r="I113">
        <v>2</v>
      </c>
      <c r="J113">
        <v>690</v>
      </c>
    </row>
    <row r="114" spans="1:10" x14ac:dyDescent="0.35">
      <c r="A114" s="1" t="s">
        <v>131</v>
      </c>
      <c r="B114">
        <v>77</v>
      </c>
      <c r="C114">
        <v>29</v>
      </c>
      <c r="D114">
        <v>18</v>
      </c>
      <c r="E114">
        <v>50</v>
      </c>
      <c r="F114">
        <v>94</v>
      </c>
      <c r="G114">
        <v>75</v>
      </c>
      <c r="H114">
        <v>11</v>
      </c>
      <c r="I114">
        <v>17</v>
      </c>
      <c r="J114">
        <v>989</v>
      </c>
    </row>
    <row r="115" spans="1:10" x14ac:dyDescent="0.35">
      <c r="A115" s="1" t="s">
        <v>132</v>
      </c>
      <c r="B115">
        <v>83</v>
      </c>
      <c r="C115">
        <v>23</v>
      </c>
      <c r="D115">
        <v>73</v>
      </c>
      <c r="E115">
        <v>85</v>
      </c>
      <c r="F115">
        <v>95</v>
      </c>
      <c r="G115">
        <v>77</v>
      </c>
      <c r="H115">
        <v>11</v>
      </c>
      <c r="I115">
        <v>17</v>
      </c>
      <c r="J115">
        <v>786</v>
      </c>
    </row>
    <row r="116" spans="1:10" x14ac:dyDescent="0.35">
      <c r="A116" s="1" t="s">
        <v>133</v>
      </c>
      <c r="B116">
        <v>3</v>
      </c>
      <c r="C116">
        <v>19</v>
      </c>
      <c r="D116">
        <v>92</v>
      </c>
      <c r="E116">
        <v>22</v>
      </c>
      <c r="F116">
        <v>36</v>
      </c>
      <c r="G116">
        <v>31</v>
      </c>
      <c r="H116">
        <v>9</v>
      </c>
      <c r="I116">
        <v>14</v>
      </c>
      <c r="J116">
        <v>618</v>
      </c>
    </row>
    <row r="117" spans="1:10" x14ac:dyDescent="0.35">
      <c r="A117" s="1" t="s">
        <v>134</v>
      </c>
      <c r="B117">
        <v>74</v>
      </c>
      <c r="C117">
        <v>18</v>
      </c>
      <c r="D117">
        <v>92</v>
      </c>
      <c r="E117">
        <v>30</v>
      </c>
      <c r="F117">
        <v>35</v>
      </c>
      <c r="G117">
        <v>64</v>
      </c>
      <c r="H117">
        <v>3</v>
      </c>
      <c r="I117">
        <v>13</v>
      </c>
      <c r="J117">
        <v>698</v>
      </c>
    </row>
    <row r="118" spans="1:10" x14ac:dyDescent="0.35">
      <c r="A118" s="1" t="s">
        <v>135</v>
      </c>
      <c r="B118">
        <v>89</v>
      </c>
      <c r="C118">
        <v>63</v>
      </c>
      <c r="D118">
        <v>6</v>
      </c>
      <c r="E118">
        <v>58</v>
      </c>
      <c r="F118">
        <v>85</v>
      </c>
      <c r="G118">
        <v>64</v>
      </c>
      <c r="H118">
        <v>5</v>
      </c>
      <c r="I118">
        <v>5</v>
      </c>
      <c r="J118">
        <v>741</v>
      </c>
    </row>
    <row r="119" spans="1:10" x14ac:dyDescent="0.35">
      <c r="A119" s="1" t="s">
        <v>136</v>
      </c>
      <c r="B119">
        <v>92</v>
      </c>
      <c r="C119">
        <v>61</v>
      </c>
      <c r="D119">
        <v>24</v>
      </c>
      <c r="E119">
        <v>100</v>
      </c>
      <c r="F119">
        <v>84</v>
      </c>
      <c r="G119">
        <v>84</v>
      </c>
      <c r="H119">
        <v>1</v>
      </c>
      <c r="I119">
        <v>14</v>
      </c>
      <c r="J119">
        <v>898</v>
      </c>
    </row>
    <row r="120" spans="1:10" x14ac:dyDescent="0.35">
      <c r="A120" s="1" t="s">
        <v>137</v>
      </c>
      <c r="B120">
        <v>6</v>
      </c>
      <c r="C120">
        <v>82</v>
      </c>
      <c r="D120">
        <v>82</v>
      </c>
      <c r="E120">
        <v>15</v>
      </c>
      <c r="F120">
        <v>10</v>
      </c>
      <c r="G120">
        <v>2</v>
      </c>
      <c r="H120">
        <v>18</v>
      </c>
      <c r="I120">
        <v>20</v>
      </c>
      <c r="J120">
        <v>988</v>
      </c>
    </row>
    <row r="121" spans="1:10" x14ac:dyDescent="0.35">
      <c r="A121" s="1" t="s">
        <v>138</v>
      </c>
      <c r="B121">
        <v>57</v>
      </c>
      <c r="C121">
        <v>48</v>
      </c>
      <c r="D121">
        <v>16</v>
      </c>
      <c r="E121">
        <v>48</v>
      </c>
      <c r="F121">
        <v>56</v>
      </c>
      <c r="G121">
        <v>34</v>
      </c>
      <c r="H121">
        <v>10</v>
      </c>
      <c r="I121">
        <v>7</v>
      </c>
      <c r="J121">
        <v>843</v>
      </c>
    </row>
    <row r="122" spans="1:10" x14ac:dyDescent="0.35">
      <c r="A122" s="1" t="s">
        <v>139</v>
      </c>
      <c r="B122">
        <v>66</v>
      </c>
      <c r="C122">
        <v>76</v>
      </c>
      <c r="D122">
        <v>1</v>
      </c>
      <c r="E122">
        <v>90</v>
      </c>
      <c r="F122">
        <v>52</v>
      </c>
      <c r="G122">
        <v>71</v>
      </c>
      <c r="H122">
        <v>13</v>
      </c>
      <c r="I122">
        <v>16</v>
      </c>
      <c r="J122">
        <v>507</v>
      </c>
    </row>
    <row r="123" spans="1:10" x14ac:dyDescent="0.35">
      <c r="A123" s="1" t="s">
        <v>140</v>
      </c>
      <c r="B123">
        <v>93</v>
      </c>
      <c r="C123">
        <v>44</v>
      </c>
      <c r="D123">
        <v>64</v>
      </c>
      <c r="E123">
        <v>97</v>
      </c>
      <c r="F123">
        <v>90</v>
      </c>
      <c r="G123">
        <v>85</v>
      </c>
      <c r="H123">
        <v>15</v>
      </c>
      <c r="I123">
        <v>4</v>
      </c>
      <c r="J123">
        <v>888</v>
      </c>
    </row>
    <row r="124" spans="1:10" x14ac:dyDescent="0.35">
      <c r="A124" s="1" t="s">
        <v>141</v>
      </c>
      <c r="B124">
        <v>40</v>
      </c>
      <c r="C124">
        <v>89</v>
      </c>
      <c r="D124">
        <v>85</v>
      </c>
      <c r="E124">
        <v>15</v>
      </c>
      <c r="F124">
        <v>7</v>
      </c>
      <c r="G124">
        <v>49</v>
      </c>
      <c r="H124">
        <v>2</v>
      </c>
      <c r="I124">
        <v>9</v>
      </c>
      <c r="J124">
        <v>776</v>
      </c>
    </row>
    <row r="125" spans="1:10" x14ac:dyDescent="0.35">
      <c r="A125" s="1" t="s">
        <v>142</v>
      </c>
      <c r="B125">
        <v>65</v>
      </c>
      <c r="C125">
        <v>82</v>
      </c>
      <c r="D125">
        <v>73</v>
      </c>
      <c r="E125">
        <v>50</v>
      </c>
      <c r="F125">
        <v>72</v>
      </c>
      <c r="G125">
        <v>57</v>
      </c>
      <c r="H125">
        <v>3</v>
      </c>
      <c r="I125">
        <v>9</v>
      </c>
      <c r="J125">
        <v>770</v>
      </c>
    </row>
    <row r="126" spans="1:10" x14ac:dyDescent="0.35">
      <c r="A126" s="1" t="s">
        <v>143</v>
      </c>
      <c r="B126">
        <v>61</v>
      </c>
      <c r="C126">
        <v>37</v>
      </c>
      <c r="D126">
        <v>80</v>
      </c>
      <c r="E126">
        <v>56</v>
      </c>
      <c r="F126">
        <v>72</v>
      </c>
      <c r="G126">
        <v>82</v>
      </c>
      <c r="H126">
        <v>8</v>
      </c>
      <c r="I126">
        <v>15</v>
      </c>
      <c r="J126">
        <v>701</v>
      </c>
    </row>
    <row r="127" spans="1:10" x14ac:dyDescent="0.35">
      <c r="A127" s="1" t="s">
        <v>144</v>
      </c>
      <c r="B127">
        <v>82</v>
      </c>
      <c r="C127">
        <v>25</v>
      </c>
      <c r="D127">
        <v>54</v>
      </c>
      <c r="E127">
        <v>99</v>
      </c>
      <c r="F127">
        <v>81</v>
      </c>
      <c r="G127">
        <v>94</v>
      </c>
      <c r="H127">
        <v>9</v>
      </c>
      <c r="I127">
        <v>17</v>
      </c>
      <c r="J127">
        <v>884</v>
      </c>
    </row>
    <row r="128" spans="1:10" x14ac:dyDescent="0.35">
      <c r="A128" s="1" t="s">
        <v>145</v>
      </c>
      <c r="B128">
        <v>5</v>
      </c>
      <c r="C128">
        <v>87</v>
      </c>
      <c r="D128">
        <v>94</v>
      </c>
      <c r="E128">
        <v>45</v>
      </c>
      <c r="F128">
        <v>3</v>
      </c>
      <c r="G128">
        <v>14</v>
      </c>
      <c r="H128">
        <v>18</v>
      </c>
      <c r="I128">
        <v>5</v>
      </c>
      <c r="J128">
        <v>789</v>
      </c>
    </row>
    <row r="129" spans="1:10" x14ac:dyDescent="0.35">
      <c r="A129" s="1" t="s">
        <v>146</v>
      </c>
      <c r="B129">
        <v>49</v>
      </c>
      <c r="C129">
        <v>58</v>
      </c>
      <c r="D129">
        <v>9</v>
      </c>
      <c r="E129">
        <v>68</v>
      </c>
      <c r="F129">
        <v>63</v>
      </c>
      <c r="G129">
        <v>27</v>
      </c>
      <c r="H129">
        <v>16</v>
      </c>
      <c r="I129">
        <v>17</v>
      </c>
      <c r="J129">
        <v>584</v>
      </c>
    </row>
    <row r="130" spans="1:10" x14ac:dyDescent="0.35">
      <c r="A130" s="1" t="s">
        <v>147</v>
      </c>
      <c r="B130">
        <v>78</v>
      </c>
      <c r="C130">
        <v>87</v>
      </c>
      <c r="D130">
        <v>82</v>
      </c>
      <c r="E130">
        <v>71</v>
      </c>
      <c r="F130">
        <v>96</v>
      </c>
      <c r="G130">
        <v>91</v>
      </c>
      <c r="H130">
        <v>2</v>
      </c>
      <c r="I130">
        <v>8</v>
      </c>
      <c r="J130">
        <v>657</v>
      </c>
    </row>
    <row r="131" spans="1:10" x14ac:dyDescent="0.35">
      <c r="A131" s="1" t="s">
        <v>148</v>
      </c>
      <c r="B131">
        <v>97</v>
      </c>
      <c r="C131">
        <v>11</v>
      </c>
      <c r="D131">
        <v>89</v>
      </c>
      <c r="E131">
        <v>94</v>
      </c>
      <c r="F131">
        <v>92</v>
      </c>
      <c r="G131">
        <v>88</v>
      </c>
      <c r="H131">
        <v>11</v>
      </c>
      <c r="I131">
        <v>6</v>
      </c>
      <c r="J131">
        <v>656</v>
      </c>
    </row>
    <row r="132" spans="1:10" x14ac:dyDescent="0.35">
      <c r="A132" s="1" t="s">
        <v>149</v>
      </c>
      <c r="B132">
        <v>34</v>
      </c>
      <c r="C132">
        <v>59</v>
      </c>
      <c r="D132">
        <v>3</v>
      </c>
      <c r="E132">
        <v>23</v>
      </c>
      <c r="F132">
        <v>48</v>
      </c>
      <c r="G132">
        <v>38</v>
      </c>
      <c r="H132">
        <v>4</v>
      </c>
      <c r="I132">
        <v>16</v>
      </c>
      <c r="J132">
        <v>862</v>
      </c>
    </row>
    <row r="133" spans="1:10" x14ac:dyDescent="0.35">
      <c r="A133" s="1" t="s">
        <v>150</v>
      </c>
      <c r="B133">
        <v>44</v>
      </c>
      <c r="C133">
        <v>29</v>
      </c>
      <c r="D133">
        <v>2</v>
      </c>
      <c r="E133">
        <v>70</v>
      </c>
      <c r="F133">
        <v>39</v>
      </c>
      <c r="G133">
        <v>48</v>
      </c>
      <c r="H133">
        <v>8</v>
      </c>
      <c r="I133">
        <v>9</v>
      </c>
      <c r="J133">
        <v>511</v>
      </c>
    </row>
    <row r="134" spans="1:10" x14ac:dyDescent="0.35">
      <c r="A134" s="1" t="s">
        <v>151</v>
      </c>
      <c r="B134">
        <v>78</v>
      </c>
      <c r="C134">
        <v>19</v>
      </c>
      <c r="D134">
        <v>45</v>
      </c>
      <c r="E134">
        <v>81</v>
      </c>
      <c r="F134">
        <v>60</v>
      </c>
      <c r="G134">
        <v>77</v>
      </c>
      <c r="H134">
        <v>2</v>
      </c>
      <c r="I134">
        <v>10</v>
      </c>
      <c r="J134">
        <v>972</v>
      </c>
    </row>
    <row r="135" spans="1:10" x14ac:dyDescent="0.35">
      <c r="A135" s="1" t="s">
        <v>152</v>
      </c>
      <c r="B135">
        <v>78</v>
      </c>
      <c r="C135">
        <v>90</v>
      </c>
      <c r="D135">
        <v>42</v>
      </c>
      <c r="E135">
        <v>99</v>
      </c>
      <c r="F135">
        <v>91</v>
      </c>
      <c r="G135">
        <v>84</v>
      </c>
      <c r="H135">
        <v>16</v>
      </c>
      <c r="I135">
        <v>1</v>
      </c>
      <c r="J135">
        <v>548</v>
      </c>
    </row>
    <row r="136" spans="1:10" x14ac:dyDescent="0.35">
      <c r="A136" s="1" t="s">
        <v>153</v>
      </c>
      <c r="B136">
        <v>47</v>
      </c>
      <c r="C136">
        <v>85</v>
      </c>
      <c r="D136">
        <v>35</v>
      </c>
      <c r="E136">
        <v>5</v>
      </c>
      <c r="F136">
        <v>8</v>
      </c>
      <c r="G136">
        <v>23</v>
      </c>
      <c r="H136">
        <v>5</v>
      </c>
      <c r="I136">
        <v>18</v>
      </c>
      <c r="J136">
        <v>501</v>
      </c>
    </row>
    <row r="137" spans="1:10" x14ac:dyDescent="0.35">
      <c r="A137" s="1" t="s">
        <v>154</v>
      </c>
      <c r="B137">
        <v>66</v>
      </c>
      <c r="C137">
        <v>76</v>
      </c>
      <c r="D137">
        <v>69</v>
      </c>
      <c r="E137">
        <v>53</v>
      </c>
      <c r="F137">
        <v>62</v>
      </c>
      <c r="G137">
        <v>31</v>
      </c>
      <c r="H137">
        <v>8</v>
      </c>
      <c r="I137">
        <v>6</v>
      </c>
      <c r="J137">
        <v>939</v>
      </c>
    </row>
    <row r="138" spans="1:10" x14ac:dyDescent="0.35">
      <c r="A138" s="1" t="s">
        <v>155</v>
      </c>
      <c r="B138">
        <v>59</v>
      </c>
      <c r="C138">
        <v>14</v>
      </c>
      <c r="D138">
        <v>75</v>
      </c>
      <c r="E138">
        <v>98</v>
      </c>
      <c r="F138">
        <v>83</v>
      </c>
      <c r="G138">
        <v>68</v>
      </c>
      <c r="H138">
        <v>5</v>
      </c>
      <c r="I138">
        <v>19</v>
      </c>
      <c r="J138">
        <v>827</v>
      </c>
    </row>
    <row r="139" spans="1:10" x14ac:dyDescent="0.35">
      <c r="A139" s="1" t="s">
        <v>156</v>
      </c>
      <c r="B139">
        <v>78</v>
      </c>
      <c r="C139">
        <v>33</v>
      </c>
      <c r="D139">
        <v>76</v>
      </c>
      <c r="E139">
        <v>87</v>
      </c>
      <c r="F139">
        <v>89</v>
      </c>
      <c r="G139">
        <v>100</v>
      </c>
      <c r="H139">
        <v>9</v>
      </c>
      <c r="I139">
        <v>5</v>
      </c>
      <c r="J139">
        <v>644</v>
      </c>
    </row>
    <row r="140" spans="1:10" x14ac:dyDescent="0.35">
      <c r="A140" s="1" t="s">
        <v>157</v>
      </c>
      <c r="B140">
        <v>47</v>
      </c>
      <c r="C140">
        <v>41</v>
      </c>
      <c r="D140">
        <v>48</v>
      </c>
      <c r="E140">
        <v>48</v>
      </c>
      <c r="F140">
        <v>38</v>
      </c>
      <c r="G140">
        <v>38</v>
      </c>
      <c r="H140">
        <v>4</v>
      </c>
      <c r="I140">
        <v>11</v>
      </c>
      <c r="J140">
        <v>548</v>
      </c>
    </row>
    <row r="141" spans="1:10" x14ac:dyDescent="0.35">
      <c r="A141" s="1" t="s">
        <v>158</v>
      </c>
      <c r="B141">
        <v>42</v>
      </c>
      <c r="C141">
        <v>67</v>
      </c>
      <c r="D141">
        <v>10</v>
      </c>
      <c r="E141">
        <v>53</v>
      </c>
      <c r="F141">
        <v>32</v>
      </c>
      <c r="G141">
        <v>70</v>
      </c>
      <c r="H141">
        <v>12</v>
      </c>
      <c r="I141">
        <v>15</v>
      </c>
      <c r="J141">
        <v>778</v>
      </c>
    </row>
    <row r="142" spans="1:10" x14ac:dyDescent="0.35">
      <c r="A142" s="1" t="s">
        <v>159</v>
      </c>
      <c r="B142">
        <v>96</v>
      </c>
      <c r="C142">
        <v>68</v>
      </c>
      <c r="D142">
        <v>60</v>
      </c>
      <c r="E142">
        <v>96</v>
      </c>
      <c r="F142">
        <v>74</v>
      </c>
      <c r="G142">
        <v>56</v>
      </c>
      <c r="H142">
        <v>11</v>
      </c>
      <c r="I142">
        <v>12</v>
      </c>
      <c r="J142">
        <v>528</v>
      </c>
    </row>
    <row r="143" spans="1:10" x14ac:dyDescent="0.35">
      <c r="A143" s="1" t="s">
        <v>160</v>
      </c>
      <c r="B143">
        <v>80</v>
      </c>
      <c r="C143">
        <v>68</v>
      </c>
      <c r="D143">
        <v>48</v>
      </c>
      <c r="E143">
        <v>93</v>
      </c>
      <c r="F143">
        <v>79</v>
      </c>
      <c r="G143">
        <v>89</v>
      </c>
      <c r="H143">
        <v>9</v>
      </c>
      <c r="I143">
        <v>14</v>
      </c>
      <c r="J143">
        <v>857</v>
      </c>
    </row>
    <row r="144" spans="1:10" x14ac:dyDescent="0.35">
      <c r="A144" s="1" t="s">
        <v>161</v>
      </c>
      <c r="B144">
        <v>14</v>
      </c>
      <c r="C144">
        <v>77</v>
      </c>
      <c r="D144">
        <v>14</v>
      </c>
      <c r="E144">
        <v>35</v>
      </c>
      <c r="F144">
        <v>31</v>
      </c>
      <c r="G144">
        <v>24</v>
      </c>
      <c r="H144">
        <v>16</v>
      </c>
      <c r="I144">
        <v>5</v>
      </c>
      <c r="J144">
        <v>628</v>
      </c>
    </row>
    <row r="145" spans="1:10" x14ac:dyDescent="0.35">
      <c r="A145" s="1" t="s">
        <v>162</v>
      </c>
      <c r="B145">
        <v>74</v>
      </c>
      <c r="C145">
        <v>5</v>
      </c>
      <c r="D145">
        <v>69</v>
      </c>
      <c r="E145">
        <v>31</v>
      </c>
      <c r="F145">
        <v>68</v>
      </c>
      <c r="G145">
        <v>60</v>
      </c>
      <c r="H145">
        <v>3</v>
      </c>
      <c r="I145">
        <v>9</v>
      </c>
      <c r="J145">
        <v>535</v>
      </c>
    </row>
    <row r="146" spans="1:10" x14ac:dyDescent="0.35">
      <c r="A146" s="1" t="s">
        <v>163</v>
      </c>
      <c r="B146">
        <v>88</v>
      </c>
      <c r="C146">
        <v>74</v>
      </c>
      <c r="D146">
        <v>10</v>
      </c>
      <c r="E146">
        <v>62</v>
      </c>
      <c r="F146">
        <v>92</v>
      </c>
      <c r="G146">
        <v>83</v>
      </c>
      <c r="H146">
        <v>5</v>
      </c>
      <c r="I146">
        <v>11</v>
      </c>
      <c r="J146">
        <v>978</v>
      </c>
    </row>
    <row r="147" spans="1:10" x14ac:dyDescent="0.35">
      <c r="A147" s="1" t="s">
        <v>164</v>
      </c>
      <c r="B147">
        <v>84</v>
      </c>
      <c r="C147">
        <v>39</v>
      </c>
      <c r="D147">
        <v>13</v>
      </c>
      <c r="E147">
        <v>95</v>
      </c>
      <c r="F147">
        <v>75</v>
      </c>
      <c r="G147">
        <v>89</v>
      </c>
      <c r="H147">
        <v>15</v>
      </c>
      <c r="I147">
        <v>18</v>
      </c>
      <c r="J147">
        <v>786</v>
      </c>
    </row>
    <row r="148" spans="1:10" x14ac:dyDescent="0.35">
      <c r="A148" s="1" t="s">
        <v>165</v>
      </c>
      <c r="B148">
        <v>39</v>
      </c>
      <c r="C148">
        <v>51</v>
      </c>
      <c r="D148">
        <v>29</v>
      </c>
      <c r="E148">
        <v>4</v>
      </c>
      <c r="F148">
        <v>14</v>
      </c>
      <c r="G148">
        <v>10</v>
      </c>
      <c r="H148">
        <v>18</v>
      </c>
      <c r="I148">
        <v>11</v>
      </c>
      <c r="J148">
        <v>911</v>
      </c>
    </row>
    <row r="149" spans="1:10" x14ac:dyDescent="0.35">
      <c r="A149" s="1" t="s">
        <v>166</v>
      </c>
      <c r="B149">
        <v>39</v>
      </c>
      <c r="C149">
        <v>34</v>
      </c>
      <c r="D149">
        <v>33</v>
      </c>
      <c r="E149">
        <v>59</v>
      </c>
      <c r="F149">
        <v>29</v>
      </c>
      <c r="G149">
        <v>48</v>
      </c>
      <c r="H149">
        <v>4</v>
      </c>
      <c r="I149">
        <v>5</v>
      </c>
      <c r="J149">
        <v>694</v>
      </c>
    </row>
    <row r="150" spans="1:10" x14ac:dyDescent="0.35">
      <c r="A150" s="1" t="s">
        <v>167</v>
      </c>
      <c r="B150">
        <v>60</v>
      </c>
      <c r="C150">
        <v>48</v>
      </c>
      <c r="D150">
        <v>64</v>
      </c>
      <c r="E150">
        <v>51</v>
      </c>
      <c r="F150">
        <v>60</v>
      </c>
      <c r="G150">
        <v>95</v>
      </c>
      <c r="H150">
        <v>19</v>
      </c>
      <c r="I150">
        <v>18</v>
      </c>
      <c r="J150">
        <v>772</v>
      </c>
    </row>
    <row r="151" spans="1:10" x14ac:dyDescent="0.35">
      <c r="A151" s="1" t="s">
        <v>168</v>
      </c>
      <c r="B151">
        <v>97</v>
      </c>
      <c r="C151">
        <v>85</v>
      </c>
      <c r="D151">
        <v>37</v>
      </c>
      <c r="E151">
        <v>86</v>
      </c>
      <c r="F151">
        <v>96</v>
      </c>
      <c r="G151">
        <v>84</v>
      </c>
      <c r="H151">
        <v>12</v>
      </c>
      <c r="I151">
        <v>6</v>
      </c>
      <c r="J151">
        <v>939</v>
      </c>
    </row>
    <row r="152" spans="1:10" x14ac:dyDescent="0.35">
      <c r="A152" s="1" t="s">
        <v>169</v>
      </c>
      <c r="B152">
        <v>48</v>
      </c>
      <c r="C152">
        <v>18</v>
      </c>
      <c r="D152">
        <v>96</v>
      </c>
      <c r="E152">
        <v>30</v>
      </c>
      <c r="F152">
        <v>14</v>
      </c>
      <c r="G152">
        <v>3</v>
      </c>
      <c r="H152">
        <v>3</v>
      </c>
      <c r="I152">
        <v>11</v>
      </c>
      <c r="J152">
        <v>520</v>
      </c>
    </row>
    <row r="153" spans="1:10" x14ac:dyDescent="0.35">
      <c r="A153" s="1" t="s">
        <v>170</v>
      </c>
      <c r="B153">
        <v>37</v>
      </c>
      <c r="C153">
        <v>22</v>
      </c>
      <c r="D153">
        <v>83</v>
      </c>
      <c r="E153">
        <v>38</v>
      </c>
      <c r="F153">
        <v>58</v>
      </c>
      <c r="G153">
        <v>42</v>
      </c>
      <c r="H153">
        <v>19</v>
      </c>
      <c r="I153">
        <v>10</v>
      </c>
      <c r="J153">
        <v>758</v>
      </c>
    </row>
    <row r="154" spans="1:10" x14ac:dyDescent="0.35">
      <c r="A154" s="1" t="s">
        <v>171</v>
      </c>
      <c r="B154">
        <v>58</v>
      </c>
      <c r="C154">
        <v>44</v>
      </c>
      <c r="D154">
        <v>6</v>
      </c>
      <c r="E154">
        <v>86</v>
      </c>
      <c r="F154">
        <v>53</v>
      </c>
      <c r="G154">
        <v>70</v>
      </c>
      <c r="H154">
        <v>12</v>
      </c>
      <c r="I154">
        <v>2</v>
      </c>
      <c r="J154">
        <v>652</v>
      </c>
    </row>
    <row r="155" spans="1:10" x14ac:dyDescent="0.35">
      <c r="A155" s="1" t="s">
        <v>172</v>
      </c>
      <c r="B155">
        <v>91</v>
      </c>
      <c r="C155">
        <v>79</v>
      </c>
      <c r="D155">
        <v>31</v>
      </c>
      <c r="E155">
        <v>100</v>
      </c>
      <c r="F155">
        <v>79</v>
      </c>
      <c r="G155">
        <v>87</v>
      </c>
      <c r="H155">
        <v>18</v>
      </c>
      <c r="I155">
        <v>2</v>
      </c>
      <c r="J155">
        <v>584</v>
      </c>
    </row>
    <row r="156" spans="1:10" x14ac:dyDescent="0.35">
      <c r="A156" s="1" t="s">
        <v>173</v>
      </c>
      <c r="B156">
        <v>30</v>
      </c>
      <c r="C156">
        <v>42</v>
      </c>
      <c r="D156">
        <v>57</v>
      </c>
      <c r="E156">
        <v>26</v>
      </c>
      <c r="F156">
        <v>32</v>
      </c>
      <c r="G156">
        <v>39</v>
      </c>
      <c r="H156">
        <v>4</v>
      </c>
      <c r="I156">
        <v>13</v>
      </c>
      <c r="J156">
        <v>830</v>
      </c>
    </row>
    <row r="157" spans="1:10" x14ac:dyDescent="0.35">
      <c r="A157" s="1" t="s">
        <v>174</v>
      </c>
      <c r="B157">
        <v>30</v>
      </c>
      <c r="C157">
        <v>32</v>
      </c>
      <c r="D157">
        <v>83</v>
      </c>
      <c r="E157">
        <v>59</v>
      </c>
      <c r="F157">
        <v>48</v>
      </c>
      <c r="G157">
        <v>40</v>
      </c>
      <c r="H157">
        <v>15</v>
      </c>
      <c r="I157">
        <v>14</v>
      </c>
      <c r="J157">
        <v>627</v>
      </c>
    </row>
    <row r="158" spans="1:10" x14ac:dyDescent="0.35">
      <c r="A158" s="1" t="s">
        <v>175</v>
      </c>
      <c r="B158">
        <v>87</v>
      </c>
      <c r="C158">
        <v>86</v>
      </c>
      <c r="D158">
        <v>77</v>
      </c>
      <c r="E158">
        <v>54</v>
      </c>
      <c r="F158">
        <v>51</v>
      </c>
      <c r="G158">
        <v>89</v>
      </c>
      <c r="H158">
        <v>10</v>
      </c>
      <c r="I158">
        <v>15</v>
      </c>
      <c r="J158">
        <v>982</v>
      </c>
    </row>
    <row r="159" spans="1:10" x14ac:dyDescent="0.35">
      <c r="A159" s="1" t="s">
        <v>176</v>
      </c>
      <c r="B159">
        <v>92</v>
      </c>
      <c r="C159">
        <v>60</v>
      </c>
      <c r="D159">
        <v>29</v>
      </c>
      <c r="E159">
        <v>82</v>
      </c>
      <c r="F159">
        <v>79</v>
      </c>
      <c r="G159">
        <v>96</v>
      </c>
      <c r="H159">
        <v>3</v>
      </c>
      <c r="I159">
        <v>3</v>
      </c>
      <c r="J159">
        <v>817</v>
      </c>
    </row>
    <row r="160" spans="1:10" x14ac:dyDescent="0.35">
      <c r="A160" s="1" t="s">
        <v>177</v>
      </c>
      <c r="B160">
        <v>17</v>
      </c>
      <c r="C160">
        <v>51</v>
      </c>
      <c r="D160">
        <v>15</v>
      </c>
      <c r="E160">
        <v>9</v>
      </c>
      <c r="F160">
        <v>27</v>
      </c>
      <c r="G160">
        <v>20</v>
      </c>
      <c r="H160">
        <v>9</v>
      </c>
      <c r="I160">
        <v>7</v>
      </c>
      <c r="J160">
        <v>933</v>
      </c>
    </row>
    <row r="161" spans="1:10" x14ac:dyDescent="0.35">
      <c r="A161" s="1" t="s">
        <v>178</v>
      </c>
      <c r="B161">
        <v>49</v>
      </c>
      <c r="C161">
        <v>64</v>
      </c>
      <c r="D161">
        <v>38</v>
      </c>
      <c r="E161">
        <v>28</v>
      </c>
      <c r="F161">
        <v>37</v>
      </c>
      <c r="G161">
        <v>61</v>
      </c>
      <c r="H161">
        <v>13</v>
      </c>
      <c r="I161">
        <v>11</v>
      </c>
      <c r="J161">
        <v>729</v>
      </c>
    </row>
    <row r="162" spans="1:10" x14ac:dyDescent="0.35">
      <c r="A162" s="1" t="s">
        <v>179</v>
      </c>
      <c r="B162">
        <v>64</v>
      </c>
      <c r="C162">
        <v>41</v>
      </c>
      <c r="D162">
        <v>39</v>
      </c>
      <c r="E162">
        <v>90</v>
      </c>
      <c r="F162">
        <v>54</v>
      </c>
      <c r="G162">
        <v>76</v>
      </c>
      <c r="H162">
        <v>8</v>
      </c>
      <c r="I162">
        <v>5</v>
      </c>
      <c r="J162">
        <v>578</v>
      </c>
    </row>
    <row r="163" spans="1:10" x14ac:dyDescent="0.35">
      <c r="A163" s="1" t="s">
        <v>180</v>
      </c>
      <c r="B163">
        <v>79</v>
      </c>
      <c r="C163">
        <v>60</v>
      </c>
      <c r="D163">
        <v>33</v>
      </c>
      <c r="E163">
        <v>89</v>
      </c>
      <c r="F163">
        <v>93</v>
      </c>
      <c r="G163">
        <v>88</v>
      </c>
      <c r="H163">
        <v>6</v>
      </c>
      <c r="I163">
        <v>4</v>
      </c>
      <c r="J163">
        <v>720</v>
      </c>
    </row>
    <row r="164" spans="1:10" x14ac:dyDescent="0.35">
      <c r="A164" s="1" t="s">
        <v>181</v>
      </c>
      <c r="B164">
        <v>32</v>
      </c>
      <c r="C164">
        <v>49</v>
      </c>
      <c r="D164">
        <v>44</v>
      </c>
      <c r="E164">
        <v>37</v>
      </c>
      <c r="F164">
        <v>28</v>
      </c>
      <c r="G164">
        <v>37</v>
      </c>
      <c r="H164">
        <v>12</v>
      </c>
      <c r="I164">
        <v>12</v>
      </c>
      <c r="J164">
        <v>838</v>
      </c>
    </row>
    <row r="165" spans="1:10" x14ac:dyDescent="0.35">
      <c r="A165" s="1" t="s">
        <v>182</v>
      </c>
      <c r="B165">
        <v>37</v>
      </c>
      <c r="C165">
        <v>50</v>
      </c>
      <c r="D165">
        <v>2</v>
      </c>
      <c r="E165">
        <v>75</v>
      </c>
      <c r="F165">
        <v>37</v>
      </c>
      <c r="G165">
        <v>59</v>
      </c>
      <c r="H165">
        <v>16</v>
      </c>
      <c r="I165">
        <v>8</v>
      </c>
      <c r="J165">
        <v>521</v>
      </c>
    </row>
    <row r="166" spans="1:10" x14ac:dyDescent="0.35">
      <c r="A166" s="1" t="s">
        <v>183</v>
      </c>
      <c r="B166">
        <v>89</v>
      </c>
      <c r="C166">
        <v>29</v>
      </c>
      <c r="D166">
        <v>2</v>
      </c>
      <c r="E166">
        <v>52</v>
      </c>
      <c r="F166">
        <v>59</v>
      </c>
      <c r="G166">
        <v>100</v>
      </c>
      <c r="H166">
        <v>18</v>
      </c>
      <c r="I166">
        <v>13</v>
      </c>
      <c r="J166">
        <v>851</v>
      </c>
    </row>
    <row r="167" spans="1:10" x14ac:dyDescent="0.35">
      <c r="A167" s="1" t="s">
        <v>184</v>
      </c>
      <c r="B167">
        <v>85</v>
      </c>
      <c r="C167">
        <v>37</v>
      </c>
      <c r="D167">
        <v>71</v>
      </c>
      <c r="E167">
        <v>85</v>
      </c>
      <c r="F167">
        <v>76</v>
      </c>
      <c r="G167">
        <v>98</v>
      </c>
      <c r="H167">
        <v>15</v>
      </c>
      <c r="I167">
        <v>7</v>
      </c>
      <c r="J167">
        <v>808</v>
      </c>
    </row>
    <row r="168" spans="1:10" x14ac:dyDescent="0.35">
      <c r="A168" s="1" t="s">
        <v>185</v>
      </c>
      <c r="B168">
        <v>13</v>
      </c>
      <c r="C168">
        <v>76</v>
      </c>
      <c r="D168">
        <v>95</v>
      </c>
      <c r="E168">
        <v>18</v>
      </c>
      <c r="F168">
        <v>21</v>
      </c>
      <c r="G168">
        <v>4</v>
      </c>
      <c r="H168">
        <v>4</v>
      </c>
      <c r="I168">
        <v>4</v>
      </c>
      <c r="J168">
        <v>816</v>
      </c>
    </row>
    <row r="169" spans="1:10" x14ac:dyDescent="0.35">
      <c r="A169" s="1" t="s">
        <v>186</v>
      </c>
      <c r="B169">
        <v>73</v>
      </c>
      <c r="C169">
        <v>12</v>
      </c>
      <c r="D169">
        <v>95</v>
      </c>
      <c r="E169">
        <v>66</v>
      </c>
      <c r="F169">
        <v>42</v>
      </c>
      <c r="G169">
        <v>72</v>
      </c>
      <c r="H169">
        <v>16</v>
      </c>
      <c r="I169">
        <v>7</v>
      </c>
      <c r="J169">
        <v>898</v>
      </c>
    </row>
    <row r="170" spans="1:10" x14ac:dyDescent="0.35">
      <c r="A170" s="1" t="s">
        <v>187</v>
      </c>
      <c r="B170">
        <v>67</v>
      </c>
      <c r="C170">
        <v>1</v>
      </c>
      <c r="D170">
        <v>7</v>
      </c>
      <c r="E170">
        <v>51</v>
      </c>
      <c r="F170">
        <v>72</v>
      </c>
      <c r="G170">
        <v>51</v>
      </c>
      <c r="H170">
        <v>5</v>
      </c>
      <c r="I170">
        <v>6</v>
      </c>
      <c r="J170">
        <v>683</v>
      </c>
    </row>
    <row r="171" spans="1:10" x14ac:dyDescent="0.35">
      <c r="A171" s="1" t="s">
        <v>188</v>
      </c>
      <c r="B171">
        <v>88</v>
      </c>
      <c r="C171">
        <v>34</v>
      </c>
      <c r="D171">
        <v>91</v>
      </c>
      <c r="E171">
        <v>96</v>
      </c>
      <c r="F171">
        <v>89</v>
      </c>
      <c r="G171">
        <v>90</v>
      </c>
      <c r="H171">
        <v>8</v>
      </c>
      <c r="I171">
        <v>9</v>
      </c>
      <c r="J171">
        <v>920</v>
      </c>
    </row>
    <row r="172" spans="1:10" x14ac:dyDescent="0.35">
      <c r="A172" s="1" t="s">
        <v>189</v>
      </c>
      <c r="B172">
        <v>11</v>
      </c>
      <c r="C172">
        <v>57</v>
      </c>
      <c r="D172">
        <v>61</v>
      </c>
      <c r="E172">
        <v>31</v>
      </c>
      <c r="F172">
        <v>34</v>
      </c>
      <c r="G172">
        <v>27</v>
      </c>
      <c r="H172">
        <v>9</v>
      </c>
      <c r="I172">
        <v>10</v>
      </c>
      <c r="J172">
        <v>669</v>
      </c>
    </row>
    <row r="173" spans="1:10" x14ac:dyDescent="0.35">
      <c r="A173" s="1" t="s">
        <v>190</v>
      </c>
      <c r="B173">
        <v>59</v>
      </c>
      <c r="C173">
        <v>83</v>
      </c>
      <c r="D173">
        <v>11</v>
      </c>
      <c r="E173">
        <v>54</v>
      </c>
      <c r="F173">
        <v>39</v>
      </c>
      <c r="G173">
        <v>58</v>
      </c>
      <c r="H173">
        <v>14</v>
      </c>
      <c r="I173">
        <v>17</v>
      </c>
      <c r="J173">
        <v>734</v>
      </c>
    </row>
    <row r="174" spans="1:10" x14ac:dyDescent="0.35">
      <c r="A174" s="1" t="s">
        <v>191</v>
      </c>
      <c r="B174">
        <v>73</v>
      </c>
      <c r="C174">
        <v>100</v>
      </c>
      <c r="D174">
        <v>30</v>
      </c>
      <c r="E174">
        <v>64</v>
      </c>
      <c r="F174">
        <v>82</v>
      </c>
      <c r="G174">
        <v>80</v>
      </c>
      <c r="H174">
        <v>19</v>
      </c>
      <c r="I174">
        <v>16</v>
      </c>
      <c r="J174">
        <v>830</v>
      </c>
    </row>
    <row r="175" spans="1:10" x14ac:dyDescent="0.35">
      <c r="A175" s="1" t="s">
        <v>192</v>
      </c>
      <c r="B175">
        <v>99</v>
      </c>
      <c r="C175">
        <v>13</v>
      </c>
      <c r="D175">
        <v>97</v>
      </c>
      <c r="E175">
        <v>92</v>
      </c>
      <c r="F175">
        <v>99</v>
      </c>
      <c r="G175">
        <v>81</v>
      </c>
      <c r="H175">
        <v>4</v>
      </c>
      <c r="I175">
        <v>16</v>
      </c>
      <c r="J175">
        <v>922</v>
      </c>
    </row>
    <row r="176" spans="1:10" x14ac:dyDescent="0.35">
      <c r="A176" s="1" t="s">
        <v>193</v>
      </c>
      <c r="B176">
        <v>2</v>
      </c>
      <c r="C176">
        <v>45</v>
      </c>
      <c r="D176">
        <v>15</v>
      </c>
      <c r="E176">
        <v>32</v>
      </c>
      <c r="F176">
        <v>27</v>
      </c>
      <c r="G176">
        <v>43</v>
      </c>
      <c r="H176">
        <v>17</v>
      </c>
      <c r="I176">
        <v>18</v>
      </c>
      <c r="J176">
        <v>558</v>
      </c>
    </row>
    <row r="177" spans="1:10" x14ac:dyDescent="0.35">
      <c r="A177" s="1" t="s">
        <v>194</v>
      </c>
      <c r="B177">
        <v>57</v>
      </c>
      <c r="C177">
        <v>11</v>
      </c>
      <c r="D177">
        <v>52</v>
      </c>
      <c r="E177">
        <v>70</v>
      </c>
      <c r="F177">
        <v>38</v>
      </c>
      <c r="G177">
        <v>38</v>
      </c>
      <c r="H177">
        <v>16</v>
      </c>
      <c r="I177">
        <v>3</v>
      </c>
      <c r="J177">
        <v>805</v>
      </c>
    </row>
    <row r="178" spans="1:10" x14ac:dyDescent="0.35">
      <c r="A178" s="1" t="s">
        <v>195</v>
      </c>
      <c r="B178">
        <v>97</v>
      </c>
      <c r="C178">
        <v>46</v>
      </c>
      <c r="D178">
        <v>29</v>
      </c>
      <c r="E178">
        <v>69</v>
      </c>
      <c r="F178">
        <v>94</v>
      </c>
      <c r="G178">
        <v>50</v>
      </c>
      <c r="H178">
        <v>18</v>
      </c>
      <c r="I178">
        <v>16</v>
      </c>
      <c r="J178">
        <v>778</v>
      </c>
    </row>
    <row r="179" spans="1:10" x14ac:dyDescent="0.35">
      <c r="A179" s="1" t="s">
        <v>196</v>
      </c>
      <c r="B179">
        <v>85</v>
      </c>
      <c r="C179">
        <v>57</v>
      </c>
      <c r="D179">
        <v>28</v>
      </c>
      <c r="E179">
        <v>93</v>
      </c>
      <c r="F179">
        <v>90</v>
      </c>
      <c r="G179">
        <v>90</v>
      </c>
      <c r="H179">
        <v>7</v>
      </c>
      <c r="I179">
        <v>3</v>
      </c>
      <c r="J179">
        <v>732</v>
      </c>
    </row>
    <row r="180" spans="1:10" x14ac:dyDescent="0.35">
      <c r="A180" s="1" t="s">
        <v>197</v>
      </c>
      <c r="B180">
        <v>49</v>
      </c>
      <c r="C180">
        <v>25</v>
      </c>
      <c r="D180">
        <v>15</v>
      </c>
      <c r="E180">
        <v>10</v>
      </c>
      <c r="F180">
        <v>40</v>
      </c>
      <c r="G180">
        <v>49</v>
      </c>
      <c r="H180">
        <v>2</v>
      </c>
      <c r="I180">
        <v>17</v>
      </c>
      <c r="J180">
        <v>965</v>
      </c>
    </row>
    <row r="181" spans="1:10" x14ac:dyDescent="0.35">
      <c r="A181" s="1" t="s">
        <v>198</v>
      </c>
      <c r="B181">
        <v>47</v>
      </c>
      <c r="C181">
        <v>55</v>
      </c>
      <c r="D181">
        <v>63</v>
      </c>
      <c r="E181">
        <v>63</v>
      </c>
      <c r="F181">
        <v>42</v>
      </c>
      <c r="G181">
        <v>33</v>
      </c>
      <c r="H181">
        <v>5</v>
      </c>
      <c r="I181">
        <v>4</v>
      </c>
      <c r="J181">
        <v>807</v>
      </c>
    </row>
    <row r="182" spans="1:10" x14ac:dyDescent="0.35">
      <c r="A182" s="1" t="s">
        <v>199</v>
      </c>
      <c r="B182">
        <v>82</v>
      </c>
      <c r="C182">
        <v>44</v>
      </c>
      <c r="D182">
        <v>99</v>
      </c>
      <c r="E182">
        <v>86</v>
      </c>
      <c r="F182">
        <v>62</v>
      </c>
      <c r="G182">
        <v>77</v>
      </c>
      <c r="H182">
        <v>4</v>
      </c>
      <c r="I182">
        <v>5</v>
      </c>
      <c r="J182">
        <v>718</v>
      </c>
    </row>
    <row r="183" spans="1:10" x14ac:dyDescent="0.35">
      <c r="A183" s="1" t="s">
        <v>200</v>
      </c>
      <c r="B183">
        <v>80</v>
      </c>
      <c r="C183">
        <v>21</v>
      </c>
      <c r="D183">
        <v>81</v>
      </c>
      <c r="E183">
        <v>82</v>
      </c>
      <c r="F183">
        <v>79</v>
      </c>
      <c r="G183">
        <v>94</v>
      </c>
      <c r="H183">
        <v>16</v>
      </c>
      <c r="I183">
        <v>17</v>
      </c>
      <c r="J183">
        <v>683</v>
      </c>
    </row>
    <row r="184" spans="1:10" x14ac:dyDescent="0.35">
      <c r="A184" s="1" t="s">
        <v>201</v>
      </c>
      <c r="B184">
        <v>9</v>
      </c>
      <c r="C184">
        <v>75</v>
      </c>
      <c r="D184">
        <v>42</v>
      </c>
      <c r="E184">
        <v>5</v>
      </c>
      <c r="F184">
        <v>14</v>
      </c>
      <c r="G184">
        <v>12</v>
      </c>
      <c r="H184">
        <v>20</v>
      </c>
      <c r="I184">
        <v>17</v>
      </c>
      <c r="J184">
        <v>536</v>
      </c>
    </row>
    <row r="185" spans="1:10" x14ac:dyDescent="0.35">
      <c r="A185" s="1" t="s">
        <v>202</v>
      </c>
      <c r="B185">
        <v>28</v>
      </c>
      <c r="C185">
        <v>87</v>
      </c>
      <c r="D185">
        <v>92</v>
      </c>
      <c r="E185">
        <v>57</v>
      </c>
      <c r="F185">
        <v>28</v>
      </c>
      <c r="G185">
        <v>46</v>
      </c>
      <c r="H185">
        <v>10</v>
      </c>
      <c r="I185">
        <v>17</v>
      </c>
      <c r="J185">
        <v>738</v>
      </c>
    </row>
    <row r="186" spans="1:10" x14ac:dyDescent="0.35">
      <c r="A186" s="1" t="s">
        <v>203</v>
      </c>
      <c r="B186">
        <v>88</v>
      </c>
      <c r="C186">
        <v>86</v>
      </c>
      <c r="D186">
        <v>71</v>
      </c>
      <c r="E186">
        <v>69</v>
      </c>
      <c r="F186">
        <v>85</v>
      </c>
      <c r="G186">
        <v>92</v>
      </c>
      <c r="H186">
        <v>2</v>
      </c>
      <c r="I186">
        <v>14</v>
      </c>
      <c r="J186">
        <v>858</v>
      </c>
    </row>
    <row r="187" spans="1:10" x14ac:dyDescent="0.35">
      <c r="A187" s="1" t="s">
        <v>204</v>
      </c>
      <c r="B187">
        <v>90</v>
      </c>
      <c r="C187">
        <v>64</v>
      </c>
      <c r="D187">
        <v>73</v>
      </c>
      <c r="E187">
        <v>78</v>
      </c>
      <c r="F187">
        <v>94</v>
      </c>
      <c r="G187">
        <v>89</v>
      </c>
      <c r="H187">
        <v>7</v>
      </c>
      <c r="I187">
        <v>20</v>
      </c>
      <c r="J187">
        <v>794</v>
      </c>
    </row>
    <row r="188" spans="1:10" x14ac:dyDescent="0.35">
      <c r="A188" s="1" t="s">
        <v>205</v>
      </c>
      <c r="B188">
        <v>16</v>
      </c>
      <c r="C188">
        <v>88</v>
      </c>
      <c r="D188">
        <v>92</v>
      </c>
      <c r="E188">
        <v>28</v>
      </c>
      <c r="F188">
        <v>16</v>
      </c>
      <c r="G188">
        <v>14</v>
      </c>
      <c r="H188">
        <v>3</v>
      </c>
      <c r="I188">
        <v>5</v>
      </c>
      <c r="J188">
        <v>547</v>
      </c>
    </row>
    <row r="189" spans="1:10" x14ac:dyDescent="0.35">
      <c r="A189" s="1" t="s">
        <v>206</v>
      </c>
      <c r="B189">
        <v>67</v>
      </c>
      <c r="C189">
        <v>29</v>
      </c>
      <c r="D189">
        <v>74</v>
      </c>
      <c r="E189">
        <v>56</v>
      </c>
      <c r="F189">
        <v>40</v>
      </c>
      <c r="G189">
        <v>66</v>
      </c>
      <c r="H189">
        <v>2</v>
      </c>
      <c r="I189">
        <v>2</v>
      </c>
      <c r="J189">
        <v>840</v>
      </c>
    </row>
    <row r="190" spans="1:10" x14ac:dyDescent="0.35">
      <c r="A190" s="1" t="s">
        <v>207</v>
      </c>
      <c r="B190">
        <v>77</v>
      </c>
      <c r="C190">
        <v>31</v>
      </c>
      <c r="D190">
        <v>93</v>
      </c>
      <c r="E190">
        <v>78</v>
      </c>
      <c r="F190">
        <v>57</v>
      </c>
      <c r="G190">
        <v>76</v>
      </c>
      <c r="H190">
        <v>7</v>
      </c>
      <c r="I190">
        <v>8</v>
      </c>
      <c r="J190">
        <v>862</v>
      </c>
    </row>
    <row r="191" spans="1:10" x14ac:dyDescent="0.35">
      <c r="A191" s="1" t="s">
        <v>208</v>
      </c>
      <c r="B191">
        <v>85</v>
      </c>
      <c r="C191">
        <v>93</v>
      </c>
      <c r="D191">
        <v>96</v>
      </c>
      <c r="E191">
        <v>87</v>
      </c>
      <c r="F191">
        <v>86</v>
      </c>
      <c r="G191">
        <v>75</v>
      </c>
      <c r="H191">
        <v>9</v>
      </c>
      <c r="I191">
        <v>16</v>
      </c>
      <c r="J191">
        <v>801</v>
      </c>
    </row>
    <row r="192" spans="1:10" x14ac:dyDescent="0.35">
      <c r="A192" s="1" t="s">
        <v>209</v>
      </c>
      <c r="B192">
        <v>26</v>
      </c>
      <c r="C192">
        <v>56</v>
      </c>
      <c r="D192">
        <v>26</v>
      </c>
      <c r="E192">
        <v>15</v>
      </c>
      <c r="F192">
        <v>42</v>
      </c>
      <c r="G192">
        <v>3</v>
      </c>
      <c r="H192">
        <v>11</v>
      </c>
      <c r="I192">
        <v>4</v>
      </c>
      <c r="J192">
        <v>622</v>
      </c>
    </row>
    <row r="193" spans="1:10" x14ac:dyDescent="0.35">
      <c r="A193" s="1" t="s">
        <v>210</v>
      </c>
      <c r="B193">
        <v>60</v>
      </c>
      <c r="C193">
        <v>74</v>
      </c>
      <c r="D193">
        <v>75</v>
      </c>
      <c r="E193">
        <v>40</v>
      </c>
      <c r="F193">
        <v>29</v>
      </c>
      <c r="G193">
        <v>58</v>
      </c>
      <c r="H193">
        <v>13</v>
      </c>
      <c r="I193">
        <v>19</v>
      </c>
      <c r="J193">
        <v>823</v>
      </c>
    </row>
    <row r="194" spans="1:10" x14ac:dyDescent="0.35">
      <c r="A194" s="1" t="s">
        <v>211</v>
      </c>
      <c r="B194">
        <v>92</v>
      </c>
      <c r="C194">
        <v>83</v>
      </c>
      <c r="D194">
        <v>97</v>
      </c>
      <c r="E194">
        <v>50</v>
      </c>
      <c r="F194">
        <v>85</v>
      </c>
      <c r="G194">
        <v>95</v>
      </c>
      <c r="H194">
        <v>11</v>
      </c>
      <c r="I194">
        <v>11</v>
      </c>
      <c r="J194">
        <v>814</v>
      </c>
    </row>
    <row r="195" spans="1:10" x14ac:dyDescent="0.35">
      <c r="A195" s="1" t="s">
        <v>212</v>
      </c>
      <c r="B195">
        <v>89</v>
      </c>
      <c r="C195">
        <v>8</v>
      </c>
      <c r="D195">
        <v>62</v>
      </c>
      <c r="E195">
        <v>83</v>
      </c>
      <c r="F195">
        <v>84</v>
      </c>
      <c r="G195">
        <v>77</v>
      </c>
      <c r="H195">
        <v>17</v>
      </c>
      <c r="I195">
        <v>17</v>
      </c>
      <c r="J195">
        <v>668</v>
      </c>
    </row>
    <row r="196" spans="1:10" x14ac:dyDescent="0.35">
      <c r="A196" s="1" t="s">
        <v>213</v>
      </c>
      <c r="B196">
        <v>46</v>
      </c>
      <c r="C196">
        <v>28</v>
      </c>
      <c r="D196">
        <v>83</v>
      </c>
      <c r="E196">
        <v>5</v>
      </c>
      <c r="F196">
        <v>41</v>
      </c>
      <c r="G196">
        <v>8</v>
      </c>
      <c r="H196">
        <v>4</v>
      </c>
      <c r="I196">
        <v>8</v>
      </c>
      <c r="J196">
        <v>689</v>
      </c>
    </row>
    <row r="197" spans="1:10" x14ac:dyDescent="0.35">
      <c r="A197" s="1" t="s">
        <v>214</v>
      </c>
      <c r="B197">
        <v>53</v>
      </c>
      <c r="C197">
        <v>10</v>
      </c>
      <c r="D197">
        <v>96</v>
      </c>
      <c r="E197">
        <v>65</v>
      </c>
      <c r="F197">
        <v>75</v>
      </c>
      <c r="G197">
        <v>47</v>
      </c>
      <c r="H197">
        <v>7</v>
      </c>
      <c r="I197">
        <v>7</v>
      </c>
      <c r="J197">
        <v>938</v>
      </c>
    </row>
    <row r="198" spans="1:10" x14ac:dyDescent="0.35">
      <c r="A198" s="1" t="s">
        <v>215</v>
      </c>
      <c r="B198">
        <v>69</v>
      </c>
      <c r="C198">
        <v>49</v>
      </c>
      <c r="D198">
        <v>28</v>
      </c>
      <c r="E198">
        <v>68</v>
      </c>
      <c r="F198">
        <v>53</v>
      </c>
      <c r="G198">
        <v>82</v>
      </c>
      <c r="H198">
        <v>16</v>
      </c>
      <c r="I198">
        <v>7</v>
      </c>
      <c r="J198">
        <v>654</v>
      </c>
    </row>
    <row r="199" spans="1:10" x14ac:dyDescent="0.35">
      <c r="A199" s="1" t="s">
        <v>216</v>
      </c>
      <c r="B199">
        <v>95</v>
      </c>
      <c r="C199">
        <v>70</v>
      </c>
      <c r="D199">
        <v>40</v>
      </c>
      <c r="E199">
        <v>86</v>
      </c>
      <c r="F199">
        <v>87</v>
      </c>
      <c r="G199">
        <v>92</v>
      </c>
      <c r="H199">
        <v>17</v>
      </c>
      <c r="I199">
        <v>4</v>
      </c>
      <c r="J199">
        <v>1000</v>
      </c>
    </row>
    <row r="200" spans="1:10" x14ac:dyDescent="0.35">
      <c r="A200" s="1" t="s">
        <v>217</v>
      </c>
      <c r="B200">
        <v>20</v>
      </c>
      <c r="C200">
        <v>63</v>
      </c>
      <c r="D200">
        <v>65</v>
      </c>
      <c r="E200">
        <v>42</v>
      </c>
      <c r="F200">
        <v>30</v>
      </c>
      <c r="G200">
        <v>18</v>
      </c>
      <c r="H200">
        <v>9</v>
      </c>
      <c r="I200">
        <v>8</v>
      </c>
      <c r="J200">
        <v>843</v>
      </c>
    </row>
    <row r="201" spans="1:10" x14ac:dyDescent="0.35">
      <c r="A201" s="1" t="s">
        <v>218</v>
      </c>
      <c r="B201">
        <v>31</v>
      </c>
      <c r="C201">
        <v>82</v>
      </c>
      <c r="D201">
        <v>92</v>
      </c>
      <c r="E201">
        <v>63</v>
      </c>
      <c r="F201">
        <v>73</v>
      </c>
      <c r="G201">
        <v>70</v>
      </c>
      <c r="H201">
        <v>17</v>
      </c>
      <c r="I201">
        <v>2</v>
      </c>
      <c r="J201">
        <v>618</v>
      </c>
    </row>
    <row r="202" spans="1:10" x14ac:dyDescent="0.35">
      <c r="A202" s="1" t="s">
        <v>219</v>
      </c>
      <c r="B202">
        <v>50</v>
      </c>
      <c r="C202">
        <v>48</v>
      </c>
      <c r="D202">
        <v>37</v>
      </c>
      <c r="E202">
        <v>85</v>
      </c>
      <c r="F202">
        <v>86</v>
      </c>
      <c r="G202">
        <v>73</v>
      </c>
      <c r="H202">
        <v>10</v>
      </c>
      <c r="I202">
        <v>15</v>
      </c>
      <c r="J202">
        <v>567</v>
      </c>
    </row>
    <row r="203" spans="1:10" x14ac:dyDescent="0.35">
      <c r="A203" s="1" t="s">
        <v>220</v>
      </c>
      <c r="B203">
        <v>75</v>
      </c>
      <c r="C203">
        <v>28</v>
      </c>
      <c r="D203">
        <v>81</v>
      </c>
      <c r="E203">
        <v>91</v>
      </c>
      <c r="F203">
        <v>76</v>
      </c>
      <c r="G203">
        <v>95</v>
      </c>
      <c r="H203">
        <v>3</v>
      </c>
      <c r="I203">
        <v>7</v>
      </c>
      <c r="J203">
        <v>644</v>
      </c>
    </row>
  </sheetData>
  <mergeCells count="19">
    <mergeCell ref="B2:D2"/>
    <mergeCell ref="M2:R2"/>
    <mergeCell ref="U2:Z2"/>
    <mergeCell ref="H1:I1"/>
    <mergeCell ref="B1:G1"/>
    <mergeCell ref="Z3:Z4"/>
    <mergeCell ref="U3:W3"/>
    <mergeCell ref="S3:T3"/>
    <mergeCell ref="M1:Z1"/>
    <mergeCell ref="S2:T2"/>
    <mergeCell ref="K1:L1"/>
    <mergeCell ref="M3:O3"/>
    <mergeCell ref="X3:Y3"/>
    <mergeCell ref="J1:J3"/>
    <mergeCell ref="H2:I2"/>
    <mergeCell ref="E2:F2"/>
    <mergeCell ref="R3:R4"/>
    <mergeCell ref="P3:Q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topLeftCell="A9" zoomScale="77" zoomScaleNormal="73" workbookViewId="0">
      <selection activeCell="G23" sqref="G23"/>
    </sheetView>
  </sheetViews>
  <sheetFormatPr baseColWidth="10" defaultColWidth="8.7265625" defaultRowHeight="14.5" x14ac:dyDescent="0.35"/>
  <cols>
    <col min="8" max="8" width="9.453125" customWidth="1"/>
    <col min="9" max="9" width="13.1796875" customWidth="1"/>
  </cols>
  <sheetData>
    <row r="1" spans="1:12" x14ac:dyDescent="0.35">
      <c r="A1" s="17" t="s">
        <v>221</v>
      </c>
      <c r="B1" s="15" t="s">
        <v>222</v>
      </c>
      <c r="C1" s="15" t="s">
        <v>223</v>
      </c>
      <c r="D1" s="15" t="s">
        <v>224</v>
      </c>
      <c r="E1" s="15" t="s">
        <v>225</v>
      </c>
      <c r="F1" s="15" t="s">
        <v>226</v>
      </c>
      <c r="I1" s="17" t="s">
        <v>226</v>
      </c>
      <c r="J1" s="15" t="s">
        <v>222</v>
      </c>
      <c r="K1" s="15" t="s">
        <v>223</v>
      </c>
      <c r="L1" s="15" t="s">
        <v>224</v>
      </c>
    </row>
    <row r="2" spans="1:12" x14ac:dyDescent="0.35">
      <c r="A2" s="19">
        <v>1</v>
      </c>
      <c r="B2" s="20">
        <v>0</v>
      </c>
      <c r="C2" s="20">
        <v>26.43</v>
      </c>
      <c r="D2" s="20">
        <v>0</v>
      </c>
      <c r="E2" s="20" t="s">
        <v>222</v>
      </c>
      <c r="F2" s="20">
        <v>0</v>
      </c>
      <c r="I2" s="20">
        <f>F2</f>
        <v>0</v>
      </c>
      <c r="J2" s="21">
        <f>IF(I2=0,0,(B2-I2)/(C2-I2))</f>
        <v>0</v>
      </c>
      <c r="K2" s="21">
        <f>IF(I2=0, 1, (C2-I2)/(C2-I2))</f>
        <v>1</v>
      </c>
      <c r="L2" s="21">
        <f>IF(D2=0, 0, ((D2-I2)/(C2-I2)))</f>
        <v>0</v>
      </c>
    </row>
    <row r="3" spans="1:12" x14ac:dyDescent="0.35">
      <c r="A3" s="19">
        <v>2</v>
      </c>
      <c r="B3" s="20">
        <v>0</v>
      </c>
      <c r="C3" s="20">
        <v>90.12</v>
      </c>
      <c r="D3" s="20">
        <v>5.36</v>
      </c>
      <c r="E3" s="20" t="s">
        <v>222</v>
      </c>
      <c r="F3" s="20">
        <v>0</v>
      </c>
      <c r="I3" s="20">
        <f t="shared" ref="I3:I30" si="0">F3</f>
        <v>0</v>
      </c>
      <c r="J3" s="21">
        <f t="shared" ref="J3:J31" si="1">IF(I3=0,0,(B3-I3)/(C3-I3))</f>
        <v>0</v>
      </c>
      <c r="K3" s="21">
        <f t="shared" ref="K3:K31" si="2">IF(I3=0, 1, (C3-I3)/(C3-I3))</f>
        <v>1</v>
      </c>
      <c r="L3" s="21">
        <f t="shared" ref="L3:L31" si="3">IF(D3=0, 0, ((D3-I3)/(C3-I3)))</f>
        <v>5.9476253883710611E-2</v>
      </c>
    </row>
    <row r="4" spans="1:12" x14ac:dyDescent="0.35">
      <c r="A4" s="19">
        <v>3</v>
      </c>
      <c r="B4" s="20">
        <v>77.89</v>
      </c>
      <c r="C4" s="20">
        <v>281.13</v>
      </c>
      <c r="D4" s="20">
        <v>107.17</v>
      </c>
      <c r="E4" s="20" t="s">
        <v>222</v>
      </c>
      <c r="F4" s="20">
        <v>77.89</v>
      </c>
      <c r="I4" s="20">
        <f t="shared" si="0"/>
        <v>77.89</v>
      </c>
      <c r="J4" s="21">
        <f t="shared" si="1"/>
        <v>0</v>
      </c>
      <c r="K4" s="21">
        <f t="shared" si="2"/>
        <v>1</v>
      </c>
      <c r="L4" s="21">
        <f t="shared" si="3"/>
        <v>0.14406612871481991</v>
      </c>
    </row>
    <row r="5" spans="1:12" x14ac:dyDescent="0.35">
      <c r="A5" s="19">
        <v>4</v>
      </c>
      <c r="B5" s="20">
        <v>23.25</v>
      </c>
      <c r="C5" s="20">
        <v>119.65</v>
      </c>
      <c r="D5" s="20">
        <v>40.14</v>
      </c>
      <c r="E5" s="20" t="s">
        <v>222</v>
      </c>
      <c r="F5" s="20">
        <v>23.25</v>
      </c>
      <c r="I5" s="20">
        <f t="shared" si="0"/>
        <v>23.25</v>
      </c>
      <c r="J5" s="21">
        <f t="shared" si="1"/>
        <v>0</v>
      </c>
      <c r="K5" s="21">
        <f t="shared" si="2"/>
        <v>1</v>
      </c>
      <c r="L5" s="21">
        <f t="shared" si="3"/>
        <v>0.17520746887966804</v>
      </c>
    </row>
    <row r="6" spans="1:12" x14ac:dyDescent="0.35">
      <c r="A6" s="19">
        <v>5</v>
      </c>
      <c r="B6" s="20">
        <v>0</v>
      </c>
      <c r="C6" s="20">
        <v>66.349999999999994</v>
      </c>
      <c r="D6" s="20">
        <v>55.84</v>
      </c>
      <c r="E6" s="20" t="s">
        <v>222</v>
      </c>
      <c r="F6" s="20">
        <v>0</v>
      </c>
      <c r="I6" s="20">
        <f t="shared" si="0"/>
        <v>0</v>
      </c>
      <c r="J6" s="21">
        <f t="shared" si="1"/>
        <v>0</v>
      </c>
      <c r="K6" s="21">
        <f t="shared" si="2"/>
        <v>1</v>
      </c>
      <c r="L6" s="21">
        <f t="shared" si="3"/>
        <v>0.84159758854559163</v>
      </c>
    </row>
    <row r="7" spans="1:12" x14ac:dyDescent="0.35">
      <c r="A7" s="19">
        <v>6</v>
      </c>
      <c r="B7" s="20">
        <v>35.700000000000003</v>
      </c>
      <c r="C7" s="20">
        <v>134.87</v>
      </c>
      <c r="D7" s="20">
        <v>84.34</v>
      </c>
      <c r="E7" s="20" t="s">
        <v>222</v>
      </c>
      <c r="F7" s="20">
        <v>35.700000000000003</v>
      </c>
      <c r="I7" s="20">
        <f t="shared" si="0"/>
        <v>35.700000000000003</v>
      </c>
      <c r="J7" s="21">
        <f t="shared" si="1"/>
        <v>0</v>
      </c>
      <c r="K7" s="21">
        <f t="shared" si="2"/>
        <v>1</v>
      </c>
      <c r="L7" s="21">
        <f t="shared" si="3"/>
        <v>0.49047090854088937</v>
      </c>
    </row>
    <row r="8" spans="1:12" x14ac:dyDescent="0.35">
      <c r="A8" s="19">
        <v>7</v>
      </c>
      <c r="B8" s="20">
        <v>0</v>
      </c>
      <c r="C8" s="20">
        <v>37.33</v>
      </c>
      <c r="D8" s="20">
        <v>37.94</v>
      </c>
      <c r="E8" s="20" t="s">
        <v>222</v>
      </c>
      <c r="F8" s="20">
        <v>0</v>
      </c>
      <c r="I8" s="20">
        <f t="shared" si="0"/>
        <v>0</v>
      </c>
      <c r="J8" s="21">
        <f t="shared" si="1"/>
        <v>0</v>
      </c>
      <c r="K8" s="21">
        <f t="shared" si="2"/>
        <v>1</v>
      </c>
      <c r="L8" s="21">
        <f t="shared" si="3"/>
        <v>1.0163407447093491</v>
      </c>
    </row>
    <row r="9" spans="1:12" x14ac:dyDescent="0.35">
      <c r="A9" s="19">
        <v>8</v>
      </c>
      <c r="B9" s="20">
        <v>44.75</v>
      </c>
      <c r="C9" s="20">
        <v>144.59</v>
      </c>
      <c r="D9" s="20">
        <v>46.69</v>
      </c>
      <c r="E9" s="20" t="s">
        <v>222</v>
      </c>
      <c r="F9" s="20">
        <v>44.75</v>
      </c>
      <c r="I9" s="20">
        <f t="shared" si="0"/>
        <v>44.75</v>
      </c>
      <c r="J9" s="21">
        <f t="shared" si="1"/>
        <v>0</v>
      </c>
      <c r="K9" s="21">
        <f t="shared" si="2"/>
        <v>1</v>
      </c>
      <c r="L9" s="21">
        <f t="shared" si="3"/>
        <v>1.943108974358972E-2</v>
      </c>
    </row>
    <row r="10" spans="1:12" x14ac:dyDescent="0.35">
      <c r="A10" s="19">
        <v>9</v>
      </c>
      <c r="B10" s="20">
        <v>11.75</v>
      </c>
      <c r="C10" s="20">
        <v>95.83</v>
      </c>
      <c r="D10" s="20">
        <v>13.1</v>
      </c>
      <c r="E10" s="20" t="s">
        <v>222</v>
      </c>
      <c r="F10" s="20">
        <v>11.75</v>
      </c>
      <c r="I10" s="20">
        <f t="shared" si="0"/>
        <v>11.75</v>
      </c>
      <c r="J10" s="21">
        <f t="shared" si="1"/>
        <v>0</v>
      </c>
      <c r="K10" s="21">
        <f t="shared" si="2"/>
        <v>1</v>
      </c>
      <c r="L10" s="21">
        <f t="shared" si="3"/>
        <v>1.605613701236917E-2</v>
      </c>
    </row>
    <row r="11" spans="1:12" x14ac:dyDescent="0.35">
      <c r="A11" s="19">
        <v>10</v>
      </c>
      <c r="B11" s="20">
        <v>22.15</v>
      </c>
      <c r="C11" s="20">
        <v>71.11</v>
      </c>
      <c r="D11" s="20">
        <v>43.79</v>
      </c>
      <c r="E11" s="20" t="s">
        <v>222</v>
      </c>
      <c r="F11" s="20">
        <v>22.15</v>
      </c>
      <c r="I11" s="20">
        <f t="shared" si="0"/>
        <v>22.15</v>
      </c>
      <c r="J11" s="21">
        <f t="shared" si="1"/>
        <v>0</v>
      </c>
      <c r="K11" s="21">
        <f t="shared" si="2"/>
        <v>1</v>
      </c>
      <c r="L11" s="21">
        <f t="shared" si="3"/>
        <v>0.44199346405228757</v>
      </c>
    </row>
    <row r="12" spans="1:12" x14ac:dyDescent="0.35">
      <c r="A12" s="19">
        <v>11</v>
      </c>
      <c r="B12" s="20">
        <v>271.70999999999998</v>
      </c>
      <c r="C12" s="20">
        <v>635</v>
      </c>
      <c r="D12" s="20">
        <v>317.08999999999997</v>
      </c>
      <c r="E12" s="20" t="s">
        <v>222</v>
      </c>
      <c r="F12" s="20">
        <v>271.70999999999998</v>
      </c>
      <c r="I12" s="20">
        <f t="shared" si="0"/>
        <v>271.70999999999998</v>
      </c>
      <c r="J12" s="21">
        <f t="shared" si="1"/>
        <v>0</v>
      </c>
      <c r="K12" s="21">
        <f t="shared" si="2"/>
        <v>1</v>
      </c>
      <c r="L12" s="21">
        <f t="shared" si="3"/>
        <v>0.12491398056648956</v>
      </c>
    </row>
    <row r="13" spans="1:12" x14ac:dyDescent="0.35">
      <c r="A13" s="19">
        <v>12</v>
      </c>
      <c r="B13" s="20">
        <v>522.12</v>
      </c>
      <c r="C13" s="20">
        <v>834.1</v>
      </c>
      <c r="D13" s="20">
        <v>487.06</v>
      </c>
      <c r="E13" s="20" t="s">
        <v>224</v>
      </c>
      <c r="F13" s="20">
        <v>487.06</v>
      </c>
      <c r="I13" s="20">
        <f t="shared" si="0"/>
        <v>487.06</v>
      </c>
      <c r="J13" s="21">
        <f t="shared" si="1"/>
        <v>0.1010258183494698</v>
      </c>
      <c r="K13" s="21">
        <f t="shared" si="2"/>
        <v>1</v>
      </c>
      <c r="L13" s="21">
        <f t="shared" si="3"/>
        <v>0</v>
      </c>
    </row>
    <row r="14" spans="1:12" x14ac:dyDescent="0.35">
      <c r="A14" s="19">
        <v>13</v>
      </c>
      <c r="B14" s="20">
        <v>191.84</v>
      </c>
      <c r="C14" s="20">
        <v>672.88</v>
      </c>
      <c r="D14" s="20">
        <v>214.47</v>
      </c>
      <c r="E14" s="20" t="s">
        <v>222</v>
      </c>
      <c r="F14" s="20">
        <v>191.84</v>
      </c>
      <c r="I14" s="20">
        <f t="shared" si="0"/>
        <v>191.84</v>
      </c>
      <c r="J14" s="21">
        <f t="shared" si="1"/>
        <v>0</v>
      </c>
      <c r="K14" s="21">
        <f t="shared" si="2"/>
        <v>1</v>
      </c>
      <c r="L14" s="21">
        <f t="shared" si="3"/>
        <v>4.7043904872775648E-2</v>
      </c>
    </row>
    <row r="15" spans="1:12" x14ac:dyDescent="0.35">
      <c r="A15" s="19">
        <v>14</v>
      </c>
      <c r="B15" s="20">
        <v>715.2</v>
      </c>
      <c r="C15" s="20">
        <v>1092.02</v>
      </c>
      <c r="D15" s="20">
        <v>660.41</v>
      </c>
      <c r="E15" s="20" t="s">
        <v>224</v>
      </c>
      <c r="F15" s="20">
        <v>660.41</v>
      </c>
      <c r="I15" s="20">
        <f t="shared" si="0"/>
        <v>660.41</v>
      </c>
      <c r="J15" s="21">
        <f t="shared" si="1"/>
        <v>0.12694330529876527</v>
      </c>
      <c r="K15" s="21">
        <f t="shared" si="2"/>
        <v>1</v>
      </c>
      <c r="L15" s="21">
        <f t="shared" si="3"/>
        <v>0</v>
      </c>
    </row>
    <row r="16" spans="1:12" x14ac:dyDescent="0.35">
      <c r="A16" s="19">
        <v>15</v>
      </c>
      <c r="B16" s="20">
        <v>370.93</v>
      </c>
      <c r="C16" s="20">
        <v>713.22</v>
      </c>
      <c r="D16" s="20">
        <v>454.29</v>
      </c>
      <c r="E16" s="20" t="s">
        <v>222</v>
      </c>
      <c r="F16" s="20">
        <v>370.93</v>
      </c>
      <c r="I16" s="20">
        <f t="shared" si="0"/>
        <v>370.93</v>
      </c>
      <c r="J16" s="21">
        <f t="shared" si="1"/>
        <v>0</v>
      </c>
      <c r="K16" s="21">
        <f t="shared" si="2"/>
        <v>1</v>
      </c>
      <c r="L16" s="21">
        <f t="shared" si="3"/>
        <v>0.24353618276899708</v>
      </c>
    </row>
    <row r="17" spans="1:12" x14ac:dyDescent="0.35">
      <c r="A17" s="19">
        <v>16</v>
      </c>
      <c r="B17" s="20">
        <v>523.30999999999995</v>
      </c>
      <c r="C17" s="20">
        <v>919.39</v>
      </c>
      <c r="D17" s="20">
        <v>554.95000000000005</v>
      </c>
      <c r="E17" s="20" t="s">
        <v>222</v>
      </c>
      <c r="F17" s="20">
        <v>523.30999999999995</v>
      </c>
      <c r="I17" s="20">
        <f t="shared" si="0"/>
        <v>523.30999999999995</v>
      </c>
      <c r="J17" s="21">
        <f t="shared" si="1"/>
        <v>0</v>
      </c>
      <c r="K17" s="21">
        <f t="shared" si="2"/>
        <v>1</v>
      </c>
      <c r="L17" s="21">
        <f t="shared" si="3"/>
        <v>7.9882851949101441E-2</v>
      </c>
    </row>
    <row r="18" spans="1:12" x14ac:dyDescent="0.35">
      <c r="A18" s="19">
        <v>17</v>
      </c>
      <c r="B18" s="20">
        <v>312.04000000000002</v>
      </c>
      <c r="C18" s="20">
        <v>727.92</v>
      </c>
      <c r="D18" s="20">
        <v>300.45999999999998</v>
      </c>
      <c r="E18" s="20" t="s">
        <v>224</v>
      </c>
      <c r="F18" s="20">
        <v>300.45999999999998</v>
      </c>
      <c r="I18" s="20">
        <f t="shared" si="0"/>
        <v>300.45999999999998</v>
      </c>
      <c r="J18" s="21">
        <f t="shared" si="1"/>
        <v>2.7090254058859405E-2</v>
      </c>
      <c r="K18" s="21">
        <f t="shared" si="2"/>
        <v>1</v>
      </c>
      <c r="L18" s="21">
        <f t="shared" si="3"/>
        <v>0</v>
      </c>
    </row>
    <row r="19" spans="1:12" x14ac:dyDescent="0.35">
      <c r="A19" s="19">
        <v>18</v>
      </c>
      <c r="B19" s="20">
        <v>661.27</v>
      </c>
      <c r="C19" s="20">
        <v>876.5</v>
      </c>
      <c r="D19" s="20">
        <v>595.26</v>
      </c>
      <c r="E19" s="20" t="s">
        <v>224</v>
      </c>
      <c r="F19" s="20">
        <v>595.26</v>
      </c>
      <c r="I19" s="20">
        <f t="shared" si="0"/>
        <v>595.26</v>
      </c>
      <c r="J19" s="21">
        <f t="shared" si="1"/>
        <v>0.23471056748684394</v>
      </c>
      <c r="K19" s="21">
        <f t="shared" si="2"/>
        <v>1</v>
      </c>
      <c r="L19" s="21">
        <f t="shared" si="3"/>
        <v>0</v>
      </c>
    </row>
    <row r="20" spans="1:12" x14ac:dyDescent="0.35">
      <c r="A20" s="19">
        <v>19</v>
      </c>
      <c r="B20" s="20">
        <v>335.26</v>
      </c>
      <c r="C20" s="20">
        <v>523.69000000000005</v>
      </c>
      <c r="D20" s="20">
        <v>406.46</v>
      </c>
      <c r="E20" s="20" t="s">
        <v>222</v>
      </c>
      <c r="F20" s="20">
        <v>335.26</v>
      </c>
      <c r="I20" s="20">
        <f t="shared" si="0"/>
        <v>335.26</v>
      </c>
      <c r="J20" s="21">
        <f t="shared" si="1"/>
        <v>0</v>
      </c>
      <c r="K20" s="21">
        <f t="shared" si="2"/>
        <v>1</v>
      </c>
      <c r="L20" s="21">
        <f t="shared" si="3"/>
        <v>0.37785915193971215</v>
      </c>
    </row>
    <row r="21" spans="1:12" x14ac:dyDescent="0.35">
      <c r="A21" s="19">
        <v>20</v>
      </c>
      <c r="B21" s="20">
        <v>46.15</v>
      </c>
      <c r="C21" s="20">
        <v>372.51</v>
      </c>
      <c r="D21" s="20">
        <v>78.89</v>
      </c>
      <c r="E21" s="20" t="s">
        <v>222</v>
      </c>
      <c r="F21" s="20">
        <v>46.15</v>
      </c>
      <c r="I21" s="20">
        <f t="shared" si="0"/>
        <v>46.15</v>
      </c>
      <c r="J21" s="21">
        <f t="shared" si="1"/>
        <v>0</v>
      </c>
      <c r="K21" s="21">
        <f t="shared" si="2"/>
        <v>1</v>
      </c>
      <c r="L21" s="21">
        <f t="shared" si="3"/>
        <v>0.10031866650324794</v>
      </c>
    </row>
    <row r="22" spans="1:12" x14ac:dyDescent="0.35">
      <c r="A22" s="19">
        <v>21</v>
      </c>
      <c r="B22" s="20">
        <v>952.13</v>
      </c>
      <c r="C22" s="20">
        <v>1436.29</v>
      </c>
      <c r="D22" s="20">
        <v>869.96</v>
      </c>
      <c r="E22" s="20" t="s">
        <v>224</v>
      </c>
      <c r="F22" s="20">
        <v>869.96</v>
      </c>
      <c r="I22" s="20">
        <f t="shared" si="0"/>
        <v>869.96</v>
      </c>
      <c r="J22" s="21">
        <f t="shared" si="1"/>
        <v>0.14509208412056571</v>
      </c>
      <c r="K22" s="21">
        <f t="shared" si="2"/>
        <v>1</v>
      </c>
      <c r="L22" s="21">
        <f t="shared" si="3"/>
        <v>0</v>
      </c>
    </row>
    <row r="23" spans="1:12" x14ac:dyDescent="0.35">
      <c r="A23" s="19">
        <v>22</v>
      </c>
      <c r="B23" s="20">
        <v>1272.3499999999999</v>
      </c>
      <c r="C23" s="20">
        <v>1651.71</v>
      </c>
      <c r="D23" s="20">
        <v>1170.19</v>
      </c>
      <c r="E23" s="20" t="s">
        <v>224</v>
      </c>
      <c r="F23" s="20">
        <v>1170.19</v>
      </c>
      <c r="I23" s="20">
        <f t="shared" si="0"/>
        <v>1170.19</v>
      </c>
      <c r="J23" s="21">
        <f t="shared" si="1"/>
        <v>0.2121614886193717</v>
      </c>
      <c r="K23" s="21">
        <f t="shared" si="2"/>
        <v>1</v>
      </c>
      <c r="L23" s="21">
        <f t="shared" si="3"/>
        <v>0</v>
      </c>
    </row>
    <row r="24" spans="1:12" x14ac:dyDescent="0.35">
      <c r="A24" s="19">
        <v>23</v>
      </c>
      <c r="B24" s="20">
        <v>804.89</v>
      </c>
      <c r="C24" s="20">
        <v>1191.93</v>
      </c>
      <c r="D24" s="20">
        <v>677.26</v>
      </c>
      <c r="E24" s="20" t="s">
        <v>224</v>
      </c>
      <c r="F24" s="20">
        <v>677.26</v>
      </c>
      <c r="I24" s="20">
        <f t="shared" si="0"/>
        <v>677.26</v>
      </c>
      <c r="J24" s="21">
        <f t="shared" si="1"/>
        <v>0.24798414518040682</v>
      </c>
      <c r="K24" s="21">
        <f t="shared" si="2"/>
        <v>1</v>
      </c>
      <c r="L24" s="21">
        <f t="shared" si="3"/>
        <v>0</v>
      </c>
    </row>
    <row r="25" spans="1:12" x14ac:dyDescent="0.35">
      <c r="A25" s="19">
        <v>24</v>
      </c>
      <c r="B25" s="20">
        <v>623.35</v>
      </c>
      <c r="C25" s="20">
        <v>1099.24</v>
      </c>
      <c r="D25" s="20">
        <v>641.1</v>
      </c>
      <c r="E25" s="20" t="s">
        <v>222</v>
      </c>
      <c r="F25" s="20">
        <v>623.35</v>
      </c>
      <c r="I25" s="20">
        <f t="shared" si="0"/>
        <v>623.35</v>
      </c>
      <c r="J25" s="21">
        <f t="shared" si="1"/>
        <v>0</v>
      </c>
      <c r="K25" s="21">
        <f t="shared" si="2"/>
        <v>1</v>
      </c>
      <c r="L25" s="21">
        <f t="shared" si="3"/>
        <v>3.7298535375822145E-2</v>
      </c>
    </row>
    <row r="26" spans="1:12" x14ac:dyDescent="0.35">
      <c r="A26" s="19">
        <v>25</v>
      </c>
      <c r="B26" s="20">
        <v>244.28</v>
      </c>
      <c r="C26" s="20">
        <v>812.45</v>
      </c>
      <c r="D26" s="20">
        <v>301.04000000000002</v>
      </c>
      <c r="E26" s="20" t="s">
        <v>222</v>
      </c>
      <c r="F26" s="20">
        <v>244.28</v>
      </c>
      <c r="I26" s="20">
        <f t="shared" si="0"/>
        <v>244.28</v>
      </c>
      <c r="J26" s="21">
        <f t="shared" si="1"/>
        <v>0</v>
      </c>
      <c r="K26" s="21">
        <f t="shared" si="2"/>
        <v>1</v>
      </c>
      <c r="L26" s="21">
        <f t="shared" si="3"/>
        <v>9.9899677913300622E-2</v>
      </c>
    </row>
    <row r="27" spans="1:12" x14ac:dyDescent="0.35">
      <c r="A27" s="19">
        <v>26</v>
      </c>
      <c r="B27" s="20">
        <v>1592.97</v>
      </c>
      <c r="C27" s="20">
        <v>1908.89</v>
      </c>
      <c r="D27" s="20">
        <v>1396.84</v>
      </c>
      <c r="E27" s="20" t="s">
        <v>224</v>
      </c>
      <c r="F27" s="20">
        <v>1396.84</v>
      </c>
      <c r="I27" s="20">
        <f t="shared" si="0"/>
        <v>1396.84</v>
      </c>
      <c r="J27" s="21">
        <f t="shared" si="1"/>
        <v>0.38302900107411392</v>
      </c>
      <c r="K27" s="21">
        <f t="shared" si="2"/>
        <v>1</v>
      </c>
      <c r="L27" s="21">
        <f t="shared" si="3"/>
        <v>0</v>
      </c>
    </row>
    <row r="28" spans="1:12" x14ac:dyDescent="0.35">
      <c r="A28" s="19">
        <v>27</v>
      </c>
      <c r="B28" s="20">
        <v>673.51</v>
      </c>
      <c r="C28" s="20">
        <v>1134.1600000000001</v>
      </c>
      <c r="D28" s="20">
        <v>616.02</v>
      </c>
      <c r="E28" s="20" t="s">
        <v>224</v>
      </c>
      <c r="F28" s="20">
        <v>616.02</v>
      </c>
      <c r="I28" s="20">
        <f t="shared" si="0"/>
        <v>616.02</v>
      </c>
      <c r="J28" s="21">
        <f t="shared" si="1"/>
        <v>0.11095456826340371</v>
      </c>
      <c r="K28" s="21">
        <f t="shared" si="2"/>
        <v>1</v>
      </c>
      <c r="L28" s="21">
        <f t="shared" si="3"/>
        <v>0</v>
      </c>
    </row>
    <row r="29" spans="1:12" x14ac:dyDescent="0.35">
      <c r="A29" s="19">
        <v>28</v>
      </c>
      <c r="B29" s="20">
        <v>904.81</v>
      </c>
      <c r="C29" s="20">
        <v>1282.32</v>
      </c>
      <c r="D29" s="20">
        <v>804.49</v>
      </c>
      <c r="E29" s="20" t="s">
        <v>224</v>
      </c>
      <c r="F29" s="20">
        <v>804.49</v>
      </c>
      <c r="I29" s="20">
        <f t="shared" si="0"/>
        <v>804.49</v>
      </c>
      <c r="J29" s="21">
        <f t="shared" si="1"/>
        <v>0.20994914509344317</v>
      </c>
      <c r="K29" s="21">
        <f t="shared" si="2"/>
        <v>1</v>
      </c>
      <c r="L29" s="21">
        <f t="shared" si="3"/>
        <v>0</v>
      </c>
    </row>
    <row r="30" spans="1:12" x14ac:dyDescent="0.35">
      <c r="A30" s="19">
        <v>29</v>
      </c>
      <c r="B30" s="20">
        <v>924.6</v>
      </c>
      <c r="C30" s="20">
        <v>1340.75</v>
      </c>
      <c r="D30" s="20">
        <v>854.64</v>
      </c>
      <c r="E30" s="20" t="s">
        <v>224</v>
      </c>
      <c r="F30" s="20">
        <v>854.64</v>
      </c>
      <c r="I30" s="20">
        <f t="shared" si="0"/>
        <v>854.64</v>
      </c>
      <c r="J30" s="21">
        <f t="shared" si="1"/>
        <v>0.14391804324124177</v>
      </c>
      <c r="K30" s="21">
        <f t="shared" si="2"/>
        <v>1</v>
      </c>
      <c r="L30" s="21">
        <f t="shared" si="3"/>
        <v>0</v>
      </c>
    </row>
    <row r="31" spans="1:12" x14ac:dyDescent="0.35">
      <c r="A31" s="19">
        <v>30</v>
      </c>
      <c r="B31" s="20">
        <v>286.95999999999998</v>
      </c>
      <c r="C31" s="20">
        <v>792.7</v>
      </c>
      <c r="D31" s="20">
        <v>336.52</v>
      </c>
      <c r="E31" s="20" t="s">
        <v>222</v>
      </c>
      <c r="F31" s="20">
        <v>286.95999999999998</v>
      </c>
      <c r="I31" s="20">
        <f>F31</f>
        <v>286.95999999999998</v>
      </c>
      <c r="J31" s="21">
        <f t="shared" si="1"/>
        <v>0</v>
      </c>
      <c r="K31" s="21">
        <f t="shared" si="2"/>
        <v>1</v>
      </c>
      <c r="L31" s="21">
        <f t="shared" si="3"/>
        <v>9.7995017202515119E-2</v>
      </c>
    </row>
    <row r="32" spans="1:12" x14ac:dyDescent="0.35">
      <c r="B32" s="16">
        <f>AVERAGE(B2:B31)</f>
        <v>414.83899999999994</v>
      </c>
      <c r="C32" s="16">
        <f>AVERAGE(C2:C31)</f>
        <v>702.83600000000001</v>
      </c>
      <c r="D32" s="16">
        <f>AVERAGE(D2:D31)</f>
        <v>405.72566666666665</v>
      </c>
      <c r="J32" s="18">
        <f>AVERAGE(J2:J31)</f>
        <v>6.4761947359549502E-2</v>
      </c>
      <c r="K32" s="18">
        <f>AVERAGE(K2:K31)</f>
        <v>1</v>
      </c>
      <c r="L32" s="18">
        <f t="shared" ref="L32" si="4">AVERAGE(L2:L31)</f>
        <v>0.1471129251058079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tabSelected="1" topLeftCell="A9" zoomScale="72" workbookViewId="0">
      <selection activeCell="R33" sqref="R33"/>
    </sheetView>
  </sheetViews>
  <sheetFormatPr baseColWidth="10" defaultColWidth="8.7265625" defaultRowHeight="14.5" x14ac:dyDescent="0.35"/>
  <cols>
    <col min="2" max="4" width="9.54296875" bestFit="1" customWidth="1"/>
    <col min="5" max="5" width="15.453125" customWidth="1"/>
    <col min="6" max="6" width="14.1796875" customWidth="1"/>
    <col min="7" max="7" width="12" customWidth="1"/>
    <col min="8" max="8" width="11.26953125" customWidth="1"/>
    <col min="9" max="9" width="13.1796875" customWidth="1"/>
    <col min="10" max="12" width="10.54296875" bestFit="1" customWidth="1"/>
  </cols>
  <sheetData>
    <row r="1" spans="1:12" x14ac:dyDescent="0.35">
      <c r="A1" s="8" t="s">
        <v>221</v>
      </c>
      <c r="B1" s="8" t="s">
        <v>227</v>
      </c>
      <c r="C1" s="8" t="s">
        <v>228</v>
      </c>
      <c r="D1" s="8" t="s">
        <v>229</v>
      </c>
      <c r="E1" s="8" t="s">
        <v>230</v>
      </c>
      <c r="F1" s="8" t="s">
        <v>226</v>
      </c>
      <c r="G1" s="2"/>
      <c r="H1" s="2"/>
      <c r="I1" s="8" t="s">
        <v>226</v>
      </c>
      <c r="J1" s="8" t="s">
        <v>227</v>
      </c>
      <c r="K1" s="8" t="s">
        <v>228</v>
      </c>
      <c r="L1" s="8" t="s">
        <v>229</v>
      </c>
    </row>
    <row r="2" spans="1:12" x14ac:dyDescent="0.35">
      <c r="A2" s="10">
        <v>1</v>
      </c>
      <c r="B2" s="9">
        <v>1043</v>
      </c>
      <c r="C2" s="9">
        <v>66.260000000000005</v>
      </c>
      <c r="D2" s="9">
        <v>27.37</v>
      </c>
      <c r="E2" s="9" t="s">
        <v>229</v>
      </c>
      <c r="F2" s="9">
        <v>27.37</v>
      </c>
      <c r="G2" s="2"/>
      <c r="H2" s="2"/>
      <c r="I2" s="9">
        <f>F2</f>
        <v>27.37</v>
      </c>
      <c r="J2" s="14">
        <f>IF(I2=0,1,(B2-I2)/(B2-I2))</f>
        <v>1</v>
      </c>
      <c r="K2" s="13">
        <f>IF(I2=0, 0, (C2-I2)/(B2-I2))</f>
        <v>3.8291503795673622E-2</v>
      </c>
      <c r="L2" s="13">
        <f>IF(D2=0, 0, ((D2-I2)/(B2-I2)))</f>
        <v>0</v>
      </c>
    </row>
    <row r="3" spans="1:12" x14ac:dyDescent="0.35">
      <c r="A3" s="10">
        <v>2</v>
      </c>
      <c r="B3" s="9">
        <v>1358</v>
      </c>
      <c r="C3" s="9">
        <v>0</v>
      </c>
      <c r="D3" s="9">
        <v>0</v>
      </c>
      <c r="E3" s="9" t="s">
        <v>228</v>
      </c>
      <c r="F3" s="9">
        <v>0</v>
      </c>
      <c r="G3" s="2"/>
      <c r="H3" s="2"/>
      <c r="I3" s="9">
        <f t="shared" ref="I3:I30" si="0">F3</f>
        <v>0</v>
      </c>
      <c r="J3" s="14">
        <f t="shared" ref="J3:J31" si="1">IF(I3=0,1,(B3-I3)/(B3-I3))</f>
        <v>1</v>
      </c>
      <c r="K3" s="13">
        <f t="shared" ref="K3:K31" si="2">IF(I3=0, 0, (C3-I3)/(B3-I3))</f>
        <v>0</v>
      </c>
      <c r="L3" s="13">
        <f t="shared" ref="L3:L31" si="3">IF(D3=0, 0, ((D3-I3)/(B3-I3)))</f>
        <v>0</v>
      </c>
    </row>
    <row r="4" spans="1:12" x14ac:dyDescent="0.35">
      <c r="A4" s="10">
        <v>3</v>
      </c>
      <c r="B4" s="9">
        <v>773</v>
      </c>
      <c r="C4" s="9">
        <v>13.18</v>
      </c>
      <c r="D4" s="9">
        <v>0</v>
      </c>
      <c r="E4" s="9" t="s">
        <v>229</v>
      </c>
      <c r="F4" s="9">
        <v>0</v>
      </c>
      <c r="G4" s="2"/>
      <c r="H4" s="2"/>
      <c r="I4" s="9">
        <f t="shared" si="0"/>
        <v>0</v>
      </c>
      <c r="J4" s="14">
        <f t="shared" si="1"/>
        <v>1</v>
      </c>
      <c r="K4" s="13">
        <f t="shared" si="2"/>
        <v>0</v>
      </c>
      <c r="L4" s="13">
        <f t="shared" si="3"/>
        <v>0</v>
      </c>
    </row>
    <row r="5" spans="1:12" x14ac:dyDescent="0.35">
      <c r="A5" s="10">
        <v>4</v>
      </c>
      <c r="B5" s="9">
        <v>899</v>
      </c>
      <c r="C5" s="9">
        <v>13.26</v>
      </c>
      <c r="D5" s="9">
        <v>25.68</v>
      </c>
      <c r="E5" s="9" t="s">
        <v>228</v>
      </c>
      <c r="F5" s="9">
        <v>13.26</v>
      </c>
      <c r="G5" s="2"/>
      <c r="H5" s="2"/>
      <c r="I5" s="9">
        <f t="shared" si="0"/>
        <v>13.26</v>
      </c>
      <c r="J5" s="14">
        <f t="shared" si="1"/>
        <v>1</v>
      </c>
      <c r="K5" s="13">
        <f t="shared" si="2"/>
        <v>0</v>
      </c>
      <c r="L5" s="13">
        <f t="shared" si="3"/>
        <v>1.4022173549800166E-2</v>
      </c>
    </row>
    <row r="6" spans="1:12" x14ac:dyDescent="0.35">
      <c r="A6" s="10">
        <v>5</v>
      </c>
      <c r="B6" s="9">
        <v>1164</v>
      </c>
      <c r="C6" s="9">
        <v>7.86</v>
      </c>
      <c r="D6" s="9">
        <v>6.3</v>
      </c>
      <c r="E6" s="9" t="s">
        <v>229</v>
      </c>
      <c r="F6" s="9">
        <v>6.3</v>
      </c>
      <c r="G6" s="2"/>
      <c r="H6" s="2"/>
      <c r="I6" s="9">
        <f t="shared" si="0"/>
        <v>6.3</v>
      </c>
      <c r="J6" s="14">
        <f t="shared" si="1"/>
        <v>1</v>
      </c>
      <c r="K6" s="13">
        <f t="shared" si="2"/>
        <v>1.3474993521637735E-3</v>
      </c>
      <c r="L6" s="13">
        <f t="shared" si="3"/>
        <v>0</v>
      </c>
    </row>
    <row r="7" spans="1:12" x14ac:dyDescent="0.35">
      <c r="A7" s="10">
        <v>6</v>
      </c>
      <c r="B7" s="9">
        <v>1036</v>
      </c>
      <c r="C7" s="9">
        <v>68.08</v>
      </c>
      <c r="D7" s="9">
        <v>29.93</v>
      </c>
      <c r="E7" s="9" t="s">
        <v>229</v>
      </c>
      <c r="F7" s="9">
        <v>29.93</v>
      </c>
      <c r="G7" s="2"/>
      <c r="H7" s="2"/>
      <c r="I7" s="9">
        <f t="shared" si="0"/>
        <v>29.93</v>
      </c>
      <c r="J7" s="14">
        <f t="shared" si="1"/>
        <v>1</v>
      </c>
      <c r="K7" s="13">
        <f t="shared" si="2"/>
        <v>3.7919826652221017E-2</v>
      </c>
      <c r="L7" s="13">
        <f t="shared" si="3"/>
        <v>0</v>
      </c>
    </row>
    <row r="8" spans="1:12" x14ac:dyDescent="0.35">
      <c r="A8" s="10">
        <v>7</v>
      </c>
      <c r="B8" s="9">
        <v>997</v>
      </c>
      <c r="C8" s="9">
        <v>0</v>
      </c>
      <c r="D8" s="9">
        <v>0</v>
      </c>
      <c r="E8" s="9" t="s">
        <v>228</v>
      </c>
      <c r="F8" s="9">
        <v>0</v>
      </c>
      <c r="G8" s="2"/>
      <c r="H8" s="2"/>
      <c r="I8" s="9">
        <f t="shared" si="0"/>
        <v>0</v>
      </c>
      <c r="J8" s="14">
        <f t="shared" si="1"/>
        <v>1</v>
      </c>
      <c r="K8" s="13">
        <f t="shared" si="2"/>
        <v>0</v>
      </c>
      <c r="L8" s="13">
        <f t="shared" si="3"/>
        <v>0</v>
      </c>
    </row>
    <row r="9" spans="1:12" x14ac:dyDescent="0.35">
      <c r="A9" s="10">
        <v>8</v>
      </c>
      <c r="B9" s="9">
        <v>1439</v>
      </c>
      <c r="C9" s="9">
        <v>50.08</v>
      </c>
      <c r="D9" s="9">
        <v>35.43</v>
      </c>
      <c r="E9" s="9" t="s">
        <v>229</v>
      </c>
      <c r="F9" s="9">
        <v>35.43</v>
      </c>
      <c r="G9" s="2"/>
      <c r="H9" s="2"/>
      <c r="I9" s="9">
        <f t="shared" si="0"/>
        <v>35.43</v>
      </c>
      <c r="J9" s="14">
        <f t="shared" si="1"/>
        <v>1</v>
      </c>
      <c r="K9" s="13">
        <f t="shared" si="2"/>
        <v>1.0437669656661227E-2</v>
      </c>
      <c r="L9" s="13">
        <f t="shared" si="3"/>
        <v>0</v>
      </c>
    </row>
    <row r="10" spans="1:12" x14ac:dyDescent="0.35">
      <c r="A10" s="10">
        <v>9</v>
      </c>
      <c r="B10" s="9">
        <v>1168</v>
      </c>
      <c r="C10" s="9">
        <v>31.38</v>
      </c>
      <c r="D10" s="9">
        <v>3.59</v>
      </c>
      <c r="E10" s="9" t="s">
        <v>229</v>
      </c>
      <c r="F10" s="9">
        <v>3.59</v>
      </c>
      <c r="G10" s="2"/>
      <c r="H10" s="2"/>
      <c r="I10" s="9">
        <f t="shared" si="0"/>
        <v>3.59</v>
      </c>
      <c r="J10" s="14">
        <f t="shared" si="1"/>
        <v>1</v>
      </c>
      <c r="K10" s="13">
        <f t="shared" si="2"/>
        <v>2.3866163980041391E-2</v>
      </c>
      <c r="L10" s="13">
        <f t="shared" si="3"/>
        <v>0</v>
      </c>
    </row>
    <row r="11" spans="1:12" x14ac:dyDescent="0.35">
      <c r="A11" s="10">
        <v>10</v>
      </c>
      <c r="B11" s="9">
        <v>694</v>
      </c>
      <c r="C11" s="9">
        <v>18.12</v>
      </c>
      <c r="D11" s="9">
        <v>28.72</v>
      </c>
      <c r="E11" s="9" t="s">
        <v>228</v>
      </c>
      <c r="F11" s="9">
        <v>18.12</v>
      </c>
      <c r="G11" s="2"/>
      <c r="H11" s="2"/>
      <c r="I11" s="9">
        <f t="shared" si="0"/>
        <v>18.12</v>
      </c>
      <c r="J11" s="14">
        <f t="shared" si="1"/>
        <v>1</v>
      </c>
      <c r="K11" s="13">
        <f t="shared" si="2"/>
        <v>0</v>
      </c>
      <c r="L11" s="13">
        <f t="shared" si="3"/>
        <v>1.5683257382967386E-2</v>
      </c>
    </row>
    <row r="12" spans="1:12" x14ac:dyDescent="0.35">
      <c r="A12" s="10">
        <v>11</v>
      </c>
      <c r="B12" s="9">
        <v>1969</v>
      </c>
      <c r="C12" s="9">
        <v>176.94</v>
      </c>
      <c r="D12" s="9">
        <v>138.66999999999999</v>
      </c>
      <c r="E12" s="9" t="s">
        <v>229</v>
      </c>
      <c r="F12" s="9">
        <v>138.66999999999999</v>
      </c>
      <c r="G12" s="2"/>
      <c r="H12" s="2"/>
      <c r="I12" s="9">
        <f t="shared" si="0"/>
        <v>138.66999999999999</v>
      </c>
      <c r="J12" s="14">
        <f t="shared" si="1"/>
        <v>1</v>
      </c>
      <c r="K12" s="13">
        <f t="shared" si="2"/>
        <v>2.0908797867051302E-2</v>
      </c>
      <c r="L12" s="13">
        <f t="shared" si="3"/>
        <v>0</v>
      </c>
    </row>
    <row r="13" spans="1:12" x14ac:dyDescent="0.35">
      <c r="A13" s="10">
        <v>12</v>
      </c>
      <c r="B13" s="9">
        <v>2305</v>
      </c>
      <c r="C13" s="9">
        <v>574.87</v>
      </c>
      <c r="D13" s="9">
        <v>488.25</v>
      </c>
      <c r="E13" s="9" t="s">
        <v>229</v>
      </c>
      <c r="F13" s="9">
        <v>488.25</v>
      </c>
      <c r="G13" s="2"/>
      <c r="H13" s="2"/>
      <c r="I13" s="9">
        <f t="shared" si="0"/>
        <v>488.25</v>
      </c>
      <c r="J13" s="14">
        <f t="shared" si="1"/>
        <v>1</v>
      </c>
      <c r="K13" s="13">
        <f t="shared" si="2"/>
        <v>4.7678546855648825E-2</v>
      </c>
      <c r="L13" s="13">
        <f t="shared" si="3"/>
        <v>0</v>
      </c>
    </row>
    <row r="14" spans="1:12" x14ac:dyDescent="0.35">
      <c r="A14" s="10">
        <v>13</v>
      </c>
      <c r="B14" s="9">
        <v>1406</v>
      </c>
      <c r="C14" s="9">
        <v>183.24</v>
      </c>
      <c r="D14" s="9">
        <v>157.82</v>
      </c>
      <c r="E14" s="9" t="s">
        <v>229</v>
      </c>
      <c r="F14" s="9">
        <v>157.82</v>
      </c>
      <c r="G14" s="2"/>
      <c r="H14" s="2"/>
      <c r="I14" s="9">
        <f t="shared" si="0"/>
        <v>157.82</v>
      </c>
      <c r="J14" s="14">
        <f t="shared" si="1"/>
        <v>1</v>
      </c>
      <c r="K14" s="13">
        <f t="shared" si="2"/>
        <v>2.0365652389879675E-2</v>
      </c>
      <c r="L14" s="13">
        <f t="shared" si="3"/>
        <v>0</v>
      </c>
    </row>
    <row r="15" spans="1:12" x14ac:dyDescent="0.35">
      <c r="A15" s="10">
        <v>14</v>
      </c>
      <c r="B15" s="9">
        <v>1795</v>
      </c>
      <c r="C15" s="9">
        <v>252.16</v>
      </c>
      <c r="D15" s="9">
        <v>136.69999999999999</v>
      </c>
      <c r="E15" s="9" t="s">
        <v>229</v>
      </c>
      <c r="F15" s="9">
        <v>136.69999999999999</v>
      </c>
      <c r="G15" s="2"/>
      <c r="H15" s="2"/>
      <c r="I15" s="9">
        <f t="shared" si="0"/>
        <v>136.69999999999999</v>
      </c>
      <c r="J15" s="14">
        <f t="shared" si="1"/>
        <v>1</v>
      </c>
      <c r="K15" s="13">
        <f t="shared" si="2"/>
        <v>6.9625520110957018E-2</v>
      </c>
      <c r="L15" s="13">
        <f t="shared" si="3"/>
        <v>0</v>
      </c>
    </row>
    <row r="16" spans="1:12" x14ac:dyDescent="0.35">
      <c r="A16" s="10">
        <v>15</v>
      </c>
      <c r="B16" s="9">
        <v>1688</v>
      </c>
      <c r="C16" s="9">
        <v>152.69999999999999</v>
      </c>
      <c r="D16" s="9">
        <v>127.33</v>
      </c>
      <c r="E16" s="9" t="s">
        <v>229</v>
      </c>
      <c r="F16" s="9">
        <v>127.33</v>
      </c>
      <c r="G16" s="2"/>
      <c r="H16" s="2"/>
      <c r="I16" s="9">
        <f t="shared" si="0"/>
        <v>127.33</v>
      </c>
      <c r="J16" s="14">
        <f t="shared" si="1"/>
        <v>1</v>
      </c>
      <c r="K16" s="13">
        <f t="shared" si="2"/>
        <v>1.6255838838447584E-2</v>
      </c>
      <c r="L16" s="13">
        <f t="shared" si="3"/>
        <v>0</v>
      </c>
    </row>
    <row r="17" spans="1:12" x14ac:dyDescent="0.35">
      <c r="A17" s="10">
        <v>16</v>
      </c>
      <c r="B17" s="9">
        <v>1854</v>
      </c>
      <c r="C17" s="9">
        <v>358.33</v>
      </c>
      <c r="D17" s="9">
        <v>239.44</v>
      </c>
      <c r="E17" s="9" t="s">
        <v>229</v>
      </c>
      <c r="F17" s="9">
        <v>239.44</v>
      </c>
      <c r="G17" s="2"/>
      <c r="H17" s="2"/>
      <c r="I17" s="9">
        <f t="shared" si="0"/>
        <v>239.44</v>
      </c>
      <c r="J17" s="14">
        <f t="shared" si="1"/>
        <v>1</v>
      </c>
      <c r="K17" s="13">
        <f t="shared" si="2"/>
        <v>7.3636160935487055E-2</v>
      </c>
      <c r="L17" s="13">
        <f t="shared" si="3"/>
        <v>0</v>
      </c>
    </row>
    <row r="18" spans="1:12" x14ac:dyDescent="0.35">
      <c r="A18" s="10">
        <v>17</v>
      </c>
      <c r="B18" s="9">
        <v>1923</v>
      </c>
      <c r="C18" s="9">
        <v>271.57</v>
      </c>
      <c r="D18" s="9">
        <v>142.97999999999999</v>
      </c>
      <c r="E18" s="9" t="s">
        <v>229</v>
      </c>
      <c r="F18" s="9">
        <v>142.97999999999999</v>
      </c>
      <c r="G18" s="2"/>
      <c r="H18" s="2"/>
      <c r="I18" s="9">
        <f t="shared" si="0"/>
        <v>142.97999999999999</v>
      </c>
      <c r="J18" s="14">
        <f t="shared" si="1"/>
        <v>1</v>
      </c>
      <c r="K18" s="13">
        <f t="shared" si="2"/>
        <v>7.2240761339760234E-2</v>
      </c>
      <c r="L18" s="13">
        <f t="shared" si="3"/>
        <v>0</v>
      </c>
    </row>
    <row r="19" spans="1:12" x14ac:dyDescent="0.35">
      <c r="A19" s="10">
        <v>18</v>
      </c>
      <c r="B19" s="9">
        <v>1921</v>
      </c>
      <c r="C19" s="9">
        <v>346.64</v>
      </c>
      <c r="D19" s="9">
        <v>286.92</v>
      </c>
      <c r="E19" s="9" t="s">
        <v>229</v>
      </c>
      <c r="F19" s="9">
        <v>286.92</v>
      </c>
      <c r="G19" s="2"/>
      <c r="H19" s="2"/>
      <c r="I19" s="9">
        <f t="shared" si="0"/>
        <v>286.92</v>
      </c>
      <c r="J19" s="14">
        <f t="shared" si="1"/>
        <v>1</v>
      </c>
      <c r="K19" s="13">
        <f t="shared" si="2"/>
        <v>3.6546558308038761E-2</v>
      </c>
      <c r="L19" s="13">
        <f t="shared" si="3"/>
        <v>0</v>
      </c>
    </row>
    <row r="20" spans="1:12" x14ac:dyDescent="0.35">
      <c r="A20" s="10">
        <v>19</v>
      </c>
      <c r="B20" s="9">
        <v>2285</v>
      </c>
      <c r="C20" s="9">
        <v>425.9</v>
      </c>
      <c r="D20" s="9">
        <v>396.38</v>
      </c>
      <c r="E20" s="9" t="s">
        <v>229</v>
      </c>
      <c r="F20" s="9">
        <v>396.38</v>
      </c>
      <c r="G20" s="2"/>
      <c r="H20" s="2"/>
      <c r="I20" s="9">
        <f t="shared" si="0"/>
        <v>396.38</v>
      </c>
      <c r="J20" s="14">
        <f t="shared" si="1"/>
        <v>1</v>
      </c>
      <c r="K20" s="13">
        <f t="shared" si="2"/>
        <v>1.5630460336118427E-2</v>
      </c>
      <c r="L20" s="13">
        <f t="shared" si="3"/>
        <v>0</v>
      </c>
    </row>
    <row r="21" spans="1:12" x14ac:dyDescent="0.35">
      <c r="A21" s="10">
        <v>20</v>
      </c>
      <c r="B21" s="9">
        <v>2149</v>
      </c>
      <c r="C21" s="9">
        <v>558.20000000000005</v>
      </c>
      <c r="D21" s="9">
        <v>563.14</v>
      </c>
      <c r="E21" s="9" t="s">
        <v>228</v>
      </c>
      <c r="F21" s="9">
        <v>558.20000000000005</v>
      </c>
      <c r="G21" s="2"/>
      <c r="H21" s="2"/>
      <c r="I21" s="9">
        <f t="shared" si="0"/>
        <v>558.20000000000005</v>
      </c>
      <c r="J21" s="14">
        <f t="shared" si="1"/>
        <v>1</v>
      </c>
      <c r="K21" s="13">
        <f t="shared" si="2"/>
        <v>0</v>
      </c>
      <c r="L21" s="13">
        <f t="shared" si="3"/>
        <v>3.1053557958259626E-3</v>
      </c>
    </row>
    <row r="22" spans="1:12" x14ac:dyDescent="0.35">
      <c r="A22" s="10">
        <v>21</v>
      </c>
      <c r="B22" s="9">
        <v>3662</v>
      </c>
      <c r="C22" s="9">
        <v>1299.3399999999999</v>
      </c>
      <c r="D22" s="9">
        <v>1122.76</v>
      </c>
      <c r="E22" s="9" t="s">
        <v>229</v>
      </c>
      <c r="F22" s="9">
        <v>1122.76</v>
      </c>
      <c r="G22" s="2"/>
      <c r="H22" s="2"/>
      <c r="I22" s="9">
        <f t="shared" si="0"/>
        <v>1122.76</v>
      </c>
      <c r="J22" s="14">
        <f t="shared" si="1"/>
        <v>1</v>
      </c>
      <c r="K22" s="13">
        <f t="shared" si="2"/>
        <v>6.9540492430806039E-2</v>
      </c>
      <c r="L22" s="13">
        <f t="shared" si="3"/>
        <v>0</v>
      </c>
    </row>
    <row r="23" spans="1:12" x14ac:dyDescent="0.35">
      <c r="A23" s="10">
        <v>22</v>
      </c>
      <c r="B23" s="9">
        <v>2926</v>
      </c>
      <c r="C23" s="9">
        <v>1021.46</v>
      </c>
      <c r="D23" s="9">
        <v>920.43</v>
      </c>
      <c r="E23" s="9" t="s">
        <v>229</v>
      </c>
      <c r="F23" s="9">
        <v>920.43</v>
      </c>
      <c r="G23" s="2"/>
      <c r="H23" s="2"/>
      <c r="I23" s="9">
        <f t="shared" si="0"/>
        <v>920.43</v>
      </c>
      <c r="J23" s="14">
        <f t="shared" si="1"/>
        <v>1</v>
      </c>
      <c r="K23" s="13">
        <f t="shared" si="2"/>
        <v>5.0374706442557517E-2</v>
      </c>
      <c r="L23" s="13">
        <f t="shared" si="3"/>
        <v>0</v>
      </c>
    </row>
    <row r="24" spans="1:12" x14ac:dyDescent="0.35">
      <c r="A24" s="10">
        <v>23</v>
      </c>
      <c r="B24" s="9">
        <v>2779</v>
      </c>
      <c r="C24" s="9">
        <v>707.89</v>
      </c>
      <c r="D24" s="9">
        <v>591.64</v>
      </c>
      <c r="E24" s="9" t="s">
        <v>229</v>
      </c>
      <c r="F24" s="9">
        <v>591.64</v>
      </c>
      <c r="G24" s="2"/>
      <c r="H24" s="2"/>
      <c r="I24" s="9">
        <f t="shared" si="0"/>
        <v>591.64</v>
      </c>
      <c r="J24" s="14">
        <f t="shared" si="1"/>
        <v>1</v>
      </c>
      <c r="K24" s="13">
        <f t="shared" si="2"/>
        <v>5.3146258503401357E-2</v>
      </c>
      <c r="L24" s="13">
        <f t="shared" si="3"/>
        <v>0</v>
      </c>
    </row>
    <row r="25" spans="1:12" x14ac:dyDescent="0.35">
      <c r="A25" s="10">
        <v>24</v>
      </c>
      <c r="B25" s="9">
        <v>2634</v>
      </c>
      <c r="C25" s="9">
        <v>754.74</v>
      </c>
      <c r="D25" s="9">
        <v>658.29</v>
      </c>
      <c r="E25" s="9" t="s">
        <v>229</v>
      </c>
      <c r="F25" s="9">
        <v>658.29</v>
      </c>
      <c r="G25" s="2"/>
      <c r="H25" s="2"/>
      <c r="I25" s="9">
        <f t="shared" si="0"/>
        <v>658.29</v>
      </c>
      <c r="J25" s="14">
        <f t="shared" si="1"/>
        <v>1</v>
      </c>
      <c r="K25" s="13">
        <f t="shared" si="2"/>
        <v>4.8817893314302224E-2</v>
      </c>
      <c r="L25" s="13">
        <f t="shared" si="3"/>
        <v>0</v>
      </c>
    </row>
    <row r="26" spans="1:12" x14ac:dyDescent="0.35">
      <c r="A26" s="10">
        <v>25</v>
      </c>
      <c r="B26" s="9">
        <v>2774</v>
      </c>
      <c r="C26" s="9">
        <v>904.37</v>
      </c>
      <c r="D26" s="9">
        <v>744.57</v>
      </c>
      <c r="E26" s="9" t="s">
        <v>229</v>
      </c>
      <c r="F26" s="9">
        <v>744.57</v>
      </c>
      <c r="G26" s="2"/>
      <c r="H26" s="2"/>
      <c r="I26" s="9">
        <f t="shared" si="0"/>
        <v>744.57</v>
      </c>
      <c r="J26" s="14">
        <f t="shared" si="1"/>
        <v>1</v>
      </c>
      <c r="K26" s="13">
        <f t="shared" si="2"/>
        <v>7.8741321454792707E-2</v>
      </c>
      <c r="L26" s="13">
        <f t="shared" si="3"/>
        <v>0</v>
      </c>
    </row>
    <row r="27" spans="1:12" x14ac:dyDescent="0.35">
      <c r="A27" s="10">
        <v>26</v>
      </c>
      <c r="B27" s="9">
        <v>2525</v>
      </c>
      <c r="C27" s="9">
        <v>735.96</v>
      </c>
      <c r="D27" s="9">
        <v>747.14</v>
      </c>
      <c r="E27" s="9" t="s">
        <v>228</v>
      </c>
      <c r="F27" s="9">
        <v>735.96</v>
      </c>
      <c r="G27" s="2"/>
      <c r="H27" s="2"/>
      <c r="I27" s="9">
        <f t="shared" si="0"/>
        <v>735.96</v>
      </c>
      <c r="J27" s="14">
        <f t="shared" si="1"/>
        <v>1</v>
      </c>
      <c r="K27" s="13">
        <f t="shared" si="2"/>
        <v>0</v>
      </c>
      <c r="L27" s="13">
        <f t="shared" si="3"/>
        <v>6.2491615615078199E-3</v>
      </c>
    </row>
    <row r="28" spans="1:12" x14ac:dyDescent="0.35">
      <c r="A28" s="10">
        <v>27</v>
      </c>
      <c r="B28" s="9">
        <v>2974</v>
      </c>
      <c r="C28" s="9">
        <v>921.62</v>
      </c>
      <c r="D28" s="9">
        <v>847.91</v>
      </c>
      <c r="E28" s="9" t="s">
        <v>229</v>
      </c>
      <c r="F28" s="9">
        <v>847.91</v>
      </c>
      <c r="G28" s="2"/>
      <c r="H28" s="2"/>
      <c r="I28" s="9">
        <f t="shared" si="0"/>
        <v>847.91</v>
      </c>
      <c r="J28" s="14">
        <f t="shared" si="1"/>
        <v>1</v>
      </c>
      <c r="K28" s="13">
        <f t="shared" si="2"/>
        <v>3.4669275524554476E-2</v>
      </c>
      <c r="L28" s="13">
        <f t="shared" si="3"/>
        <v>0</v>
      </c>
    </row>
    <row r="29" spans="1:12" x14ac:dyDescent="0.35">
      <c r="A29" s="10">
        <v>28</v>
      </c>
      <c r="B29" s="9">
        <v>3329</v>
      </c>
      <c r="C29" s="9">
        <v>1177.26</v>
      </c>
      <c r="D29" s="9">
        <v>1157.5899999999999</v>
      </c>
      <c r="E29" s="9" t="s">
        <v>229</v>
      </c>
      <c r="F29" s="9">
        <v>1157.5899999999999</v>
      </c>
      <c r="G29" s="2"/>
      <c r="H29" s="2"/>
      <c r="I29" s="9">
        <f t="shared" si="0"/>
        <v>1157.5899999999999</v>
      </c>
      <c r="J29" s="14">
        <f t="shared" si="1"/>
        <v>1</v>
      </c>
      <c r="K29" s="13">
        <f t="shared" si="2"/>
        <v>9.0586301067048947E-3</v>
      </c>
      <c r="L29" s="13">
        <f t="shared" si="3"/>
        <v>0</v>
      </c>
    </row>
    <row r="30" spans="1:12" x14ac:dyDescent="0.35">
      <c r="A30" s="10">
        <v>29</v>
      </c>
      <c r="B30" s="9">
        <v>2766</v>
      </c>
      <c r="C30" s="9">
        <v>623.34</v>
      </c>
      <c r="D30" s="9">
        <v>486.57</v>
      </c>
      <c r="E30" s="9" t="s">
        <v>229</v>
      </c>
      <c r="F30" s="9">
        <v>486.57</v>
      </c>
      <c r="G30" s="2"/>
      <c r="H30" s="2"/>
      <c r="I30" s="9">
        <f t="shared" si="0"/>
        <v>486.57</v>
      </c>
      <c r="J30" s="14">
        <f t="shared" si="1"/>
        <v>1</v>
      </c>
      <c r="K30" s="13">
        <f t="shared" si="2"/>
        <v>6.0001842565904656E-2</v>
      </c>
      <c r="L30" s="13">
        <f t="shared" si="3"/>
        <v>0</v>
      </c>
    </row>
    <row r="31" spans="1:12" x14ac:dyDescent="0.35">
      <c r="A31" s="10">
        <v>30</v>
      </c>
      <c r="B31" s="9">
        <v>2758</v>
      </c>
      <c r="C31" s="9">
        <v>829.69</v>
      </c>
      <c r="D31" s="9">
        <v>791.47</v>
      </c>
      <c r="E31" s="9" t="s">
        <v>229</v>
      </c>
      <c r="F31" s="9">
        <v>791.47</v>
      </c>
      <c r="G31" s="2"/>
      <c r="H31" s="2"/>
      <c r="I31" s="9">
        <f>F31</f>
        <v>791.47</v>
      </c>
      <c r="J31" s="14">
        <f t="shared" si="1"/>
        <v>1</v>
      </c>
      <c r="K31" s="13">
        <f t="shared" si="2"/>
        <v>1.9435248890177129E-2</v>
      </c>
      <c r="L31" s="13">
        <f t="shared" si="3"/>
        <v>0</v>
      </c>
    </row>
    <row r="32" spans="1:12" x14ac:dyDescent="0.35">
      <c r="A32" s="2"/>
      <c r="B32" s="7">
        <f>AVERAGE(B2:B31)</f>
        <v>1966.4333333333334</v>
      </c>
      <c r="C32" s="7">
        <f t="shared" ref="C32:D32" si="4">AVERAGE(C2:C31)</f>
        <v>418.14800000000014</v>
      </c>
      <c r="D32" s="7">
        <f t="shared" si="4"/>
        <v>363.43400000000003</v>
      </c>
      <c r="E32" s="2"/>
      <c r="F32" s="2"/>
      <c r="G32" s="2"/>
      <c r="H32" s="2"/>
      <c r="I32" s="2"/>
      <c r="J32" s="12">
        <f>AVERAGE(J2:J31)</f>
        <v>1</v>
      </c>
      <c r="K32" s="11">
        <f t="shared" ref="K32:L32" si="5">AVERAGE(K2:K31)</f>
        <v>3.0284554321711694E-2</v>
      </c>
      <c r="L32" s="11">
        <f t="shared" si="5"/>
        <v>1.3019982763367113E-3</v>
      </c>
    </row>
    <row r="33" spans="1:12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topLeftCell="A2" zoomScale="63" workbookViewId="0">
      <selection activeCell="E12" sqref="E12"/>
    </sheetView>
  </sheetViews>
  <sheetFormatPr baseColWidth="10" defaultColWidth="8.7265625" defaultRowHeight="14.5" x14ac:dyDescent="0.35"/>
  <cols>
    <col min="1" max="1" width="14.26953125" customWidth="1"/>
    <col min="2" max="2" width="19.81640625" customWidth="1"/>
    <col min="4" max="4" width="29.453125" customWidth="1"/>
    <col min="5" max="5" width="33.26953125" customWidth="1"/>
    <col min="6" max="6" width="25.1796875" customWidth="1"/>
  </cols>
  <sheetData>
    <row r="1" spans="1:6" x14ac:dyDescent="0.35">
      <c r="A1" s="6" t="s">
        <v>221</v>
      </c>
      <c r="B1" s="6" t="s">
        <v>231</v>
      </c>
      <c r="C1" s="6" t="s">
        <v>232</v>
      </c>
      <c r="D1" s="6" t="s">
        <v>233</v>
      </c>
      <c r="E1" s="6" t="s">
        <v>226</v>
      </c>
      <c r="F1" s="6" t="s">
        <v>235</v>
      </c>
    </row>
    <row r="2" spans="1:6" x14ac:dyDescent="0.35">
      <c r="A2">
        <v>1</v>
      </c>
      <c r="B2">
        <v>0</v>
      </c>
      <c r="C2">
        <v>6.01</v>
      </c>
      <c r="D2" t="s">
        <v>231</v>
      </c>
      <c r="E2">
        <v>0</v>
      </c>
      <c r="F2" t="s">
        <v>236</v>
      </c>
    </row>
    <row r="3" spans="1:6" x14ac:dyDescent="0.35">
      <c r="A3">
        <v>2</v>
      </c>
      <c r="B3">
        <v>20.5</v>
      </c>
      <c r="C3">
        <v>21.03</v>
      </c>
      <c r="D3" t="s">
        <v>231</v>
      </c>
      <c r="E3">
        <v>20.5</v>
      </c>
      <c r="F3" t="s">
        <v>237</v>
      </c>
    </row>
    <row r="4" spans="1:6" x14ac:dyDescent="0.35">
      <c r="A4">
        <v>3</v>
      </c>
      <c r="B4">
        <v>0</v>
      </c>
      <c r="C4">
        <v>1.39</v>
      </c>
      <c r="D4" t="s">
        <v>231</v>
      </c>
      <c r="E4">
        <v>0</v>
      </c>
      <c r="F4" t="s">
        <v>238</v>
      </c>
    </row>
    <row r="5" spans="1:6" x14ac:dyDescent="0.35">
      <c r="A5">
        <v>4</v>
      </c>
      <c r="B5">
        <v>5.39</v>
      </c>
      <c r="C5">
        <v>5.39</v>
      </c>
      <c r="D5" t="s">
        <v>232</v>
      </c>
      <c r="E5">
        <v>5.39</v>
      </c>
      <c r="F5" t="s">
        <v>239</v>
      </c>
    </row>
    <row r="6" spans="1:6" x14ac:dyDescent="0.35">
      <c r="A6">
        <v>5</v>
      </c>
      <c r="B6">
        <v>8.02</v>
      </c>
      <c r="C6">
        <v>9.0500000000000007</v>
      </c>
      <c r="D6" t="s">
        <v>231</v>
      </c>
      <c r="E6">
        <v>8.02</v>
      </c>
      <c r="F6" t="s">
        <v>240</v>
      </c>
    </row>
    <row r="7" spans="1:6" x14ac:dyDescent="0.35">
      <c r="A7">
        <v>6</v>
      </c>
      <c r="B7">
        <v>0</v>
      </c>
      <c r="C7">
        <v>28.04</v>
      </c>
      <c r="D7" t="s">
        <v>231</v>
      </c>
      <c r="E7">
        <v>0</v>
      </c>
      <c r="F7" t="s">
        <v>241</v>
      </c>
    </row>
    <row r="8" spans="1:6" x14ac:dyDescent="0.35">
      <c r="A8">
        <v>7</v>
      </c>
      <c r="B8">
        <v>0</v>
      </c>
      <c r="C8">
        <v>0</v>
      </c>
      <c r="D8" t="s">
        <v>232</v>
      </c>
      <c r="E8">
        <v>0</v>
      </c>
      <c r="F8" t="s">
        <v>242</v>
      </c>
    </row>
    <row r="9" spans="1:6" x14ac:dyDescent="0.35">
      <c r="A9">
        <v>8</v>
      </c>
      <c r="B9">
        <v>137.87</v>
      </c>
      <c r="C9">
        <v>182.96</v>
      </c>
      <c r="D9" t="s">
        <v>231</v>
      </c>
      <c r="E9">
        <v>137.87</v>
      </c>
      <c r="F9" t="s">
        <v>243</v>
      </c>
    </row>
    <row r="10" spans="1:6" x14ac:dyDescent="0.35">
      <c r="A10">
        <v>9</v>
      </c>
      <c r="B10">
        <v>57</v>
      </c>
      <c r="C10">
        <v>65.09</v>
      </c>
      <c r="D10" t="s">
        <v>231</v>
      </c>
      <c r="E10">
        <v>57</v>
      </c>
      <c r="F10" t="s">
        <v>244</v>
      </c>
    </row>
    <row r="11" spans="1:6" x14ac:dyDescent="0.35">
      <c r="A11">
        <v>10</v>
      </c>
      <c r="B11">
        <v>0</v>
      </c>
      <c r="C11">
        <v>0</v>
      </c>
      <c r="D11" t="s">
        <v>232</v>
      </c>
      <c r="E11">
        <v>0</v>
      </c>
      <c r="F11" t="s">
        <v>245</v>
      </c>
    </row>
    <row r="12" spans="1:6" x14ac:dyDescent="0.35">
      <c r="A12">
        <v>11</v>
      </c>
      <c r="B12">
        <v>364.41</v>
      </c>
      <c r="C12">
        <v>461.67</v>
      </c>
      <c r="D12" t="s">
        <v>231</v>
      </c>
      <c r="E12">
        <v>364.41</v>
      </c>
      <c r="F12" t="s">
        <v>246</v>
      </c>
    </row>
    <row r="13" spans="1:6" x14ac:dyDescent="0.35">
      <c r="A13">
        <v>12</v>
      </c>
      <c r="B13">
        <v>148.86000000000001</v>
      </c>
      <c r="C13">
        <v>276.55</v>
      </c>
      <c r="D13" t="s">
        <v>231</v>
      </c>
      <c r="E13">
        <v>148.86000000000001</v>
      </c>
      <c r="F13" t="s">
        <v>247</v>
      </c>
    </row>
    <row r="14" spans="1:6" x14ac:dyDescent="0.35">
      <c r="A14">
        <v>13</v>
      </c>
      <c r="B14">
        <v>267.12</v>
      </c>
      <c r="C14">
        <v>445.5</v>
      </c>
      <c r="D14" t="s">
        <v>231</v>
      </c>
      <c r="E14">
        <v>267.12</v>
      </c>
      <c r="F14" t="s">
        <v>248</v>
      </c>
    </row>
    <row r="15" spans="1:6" x14ac:dyDescent="0.35">
      <c r="A15">
        <v>14</v>
      </c>
      <c r="B15">
        <v>559.14</v>
      </c>
      <c r="C15">
        <v>709.85</v>
      </c>
      <c r="D15" t="s">
        <v>231</v>
      </c>
      <c r="E15">
        <v>559.14</v>
      </c>
      <c r="F15" t="s">
        <v>249</v>
      </c>
    </row>
    <row r="16" spans="1:6" x14ac:dyDescent="0.35">
      <c r="A16">
        <v>15</v>
      </c>
      <c r="B16">
        <v>278.58999999999997</v>
      </c>
      <c r="C16">
        <v>382.95</v>
      </c>
      <c r="D16" t="s">
        <v>231</v>
      </c>
      <c r="E16">
        <v>278.58999999999997</v>
      </c>
      <c r="F16" t="s">
        <v>250</v>
      </c>
    </row>
    <row r="17" spans="1:8" x14ac:dyDescent="0.35">
      <c r="A17">
        <v>16</v>
      </c>
      <c r="B17">
        <v>426.06</v>
      </c>
      <c r="C17">
        <v>552.29999999999995</v>
      </c>
      <c r="D17" t="s">
        <v>231</v>
      </c>
      <c r="E17">
        <v>426.06</v>
      </c>
      <c r="F17" t="s">
        <v>251</v>
      </c>
    </row>
    <row r="18" spans="1:8" x14ac:dyDescent="0.35">
      <c r="A18">
        <v>17</v>
      </c>
      <c r="B18">
        <v>128.82</v>
      </c>
      <c r="C18">
        <v>289.97000000000003</v>
      </c>
      <c r="D18" t="s">
        <v>231</v>
      </c>
      <c r="E18">
        <v>128.82</v>
      </c>
      <c r="F18" t="s">
        <v>252</v>
      </c>
    </row>
    <row r="19" spans="1:8" x14ac:dyDescent="0.35">
      <c r="A19">
        <v>18</v>
      </c>
      <c r="B19">
        <v>140.28</v>
      </c>
      <c r="C19">
        <v>297.72000000000003</v>
      </c>
      <c r="D19" t="s">
        <v>231</v>
      </c>
      <c r="E19">
        <v>140.28</v>
      </c>
      <c r="F19" t="s">
        <v>253</v>
      </c>
    </row>
    <row r="20" spans="1:8" x14ac:dyDescent="0.35">
      <c r="A20">
        <v>19</v>
      </c>
      <c r="B20">
        <v>404.3</v>
      </c>
      <c r="C20">
        <v>540.54</v>
      </c>
      <c r="D20" t="s">
        <v>231</v>
      </c>
      <c r="E20">
        <v>404.3</v>
      </c>
      <c r="F20" t="s">
        <v>254</v>
      </c>
    </row>
    <row r="21" spans="1:8" x14ac:dyDescent="0.35">
      <c r="A21">
        <v>20</v>
      </c>
      <c r="B21">
        <v>154.96</v>
      </c>
      <c r="C21">
        <v>285.60000000000002</v>
      </c>
      <c r="D21" t="s">
        <v>231</v>
      </c>
      <c r="E21">
        <v>154.96</v>
      </c>
      <c r="F21" t="s">
        <v>255</v>
      </c>
    </row>
    <row r="22" spans="1:8" x14ac:dyDescent="0.35">
      <c r="A22">
        <v>21</v>
      </c>
      <c r="B22">
        <v>900.71</v>
      </c>
      <c r="C22">
        <v>1104.95</v>
      </c>
      <c r="D22" t="s">
        <v>231</v>
      </c>
      <c r="E22">
        <v>900.71</v>
      </c>
      <c r="F22" t="s">
        <v>256</v>
      </c>
    </row>
    <row r="23" spans="1:8" x14ac:dyDescent="0.35">
      <c r="A23">
        <v>22</v>
      </c>
      <c r="B23">
        <v>1038.28</v>
      </c>
      <c r="C23">
        <v>1230.48</v>
      </c>
      <c r="D23" t="s">
        <v>231</v>
      </c>
      <c r="E23">
        <v>1038.28</v>
      </c>
      <c r="F23" t="s">
        <v>257</v>
      </c>
    </row>
    <row r="24" spans="1:8" x14ac:dyDescent="0.35">
      <c r="A24">
        <v>23</v>
      </c>
      <c r="B24">
        <v>314.68</v>
      </c>
      <c r="C24">
        <v>633.67999999999995</v>
      </c>
      <c r="D24" t="s">
        <v>231</v>
      </c>
      <c r="E24">
        <v>314.68</v>
      </c>
      <c r="F24" t="s">
        <v>258</v>
      </c>
    </row>
    <row r="25" spans="1:8" x14ac:dyDescent="0.35">
      <c r="A25">
        <v>24</v>
      </c>
      <c r="B25">
        <v>1052.8</v>
      </c>
      <c r="C25">
        <v>1260.42</v>
      </c>
      <c r="D25" t="s">
        <v>231</v>
      </c>
      <c r="E25">
        <v>1052.8</v>
      </c>
      <c r="F25" t="s">
        <v>259</v>
      </c>
    </row>
    <row r="26" spans="1:8" x14ac:dyDescent="0.35">
      <c r="A26">
        <v>25</v>
      </c>
      <c r="B26">
        <v>220.08</v>
      </c>
      <c r="C26">
        <v>418</v>
      </c>
      <c r="D26" t="s">
        <v>231</v>
      </c>
      <c r="E26">
        <v>220.08</v>
      </c>
      <c r="F26" t="s">
        <v>260</v>
      </c>
    </row>
    <row r="27" spans="1:8" x14ac:dyDescent="0.35">
      <c r="A27">
        <v>26</v>
      </c>
      <c r="B27">
        <v>626.75</v>
      </c>
      <c r="C27">
        <v>816.05</v>
      </c>
      <c r="D27" t="s">
        <v>231</v>
      </c>
      <c r="E27">
        <v>626.75</v>
      </c>
      <c r="F27" t="s">
        <v>261</v>
      </c>
    </row>
    <row r="28" spans="1:8" x14ac:dyDescent="0.35">
      <c r="A28">
        <v>27</v>
      </c>
      <c r="B28">
        <v>718.93</v>
      </c>
      <c r="C28">
        <v>854.65</v>
      </c>
      <c r="D28" t="s">
        <v>231</v>
      </c>
      <c r="E28">
        <v>718.93</v>
      </c>
      <c r="F28" t="s">
        <v>262</v>
      </c>
    </row>
    <row r="29" spans="1:8" x14ac:dyDescent="0.35">
      <c r="A29">
        <v>28</v>
      </c>
      <c r="B29">
        <v>1037.0999999999999</v>
      </c>
      <c r="C29">
        <v>1239.1600000000001</v>
      </c>
      <c r="D29" t="s">
        <v>231</v>
      </c>
      <c r="E29">
        <v>1037.0999999999999</v>
      </c>
      <c r="F29" t="s">
        <v>263</v>
      </c>
    </row>
    <row r="30" spans="1:8" x14ac:dyDescent="0.35">
      <c r="A30">
        <v>29</v>
      </c>
      <c r="B30">
        <v>1912.71</v>
      </c>
      <c r="C30">
        <v>2055.6799999999998</v>
      </c>
      <c r="D30" t="s">
        <v>231</v>
      </c>
      <c r="E30">
        <v>1912.71</v>
      </c>
      <c r="F30" t="s">
        <v>264</v>
      </c>
    </row>
    <row r="31" spans="1:8" x14ac:dyDescent="0.35">
      <c r="A31">
        <v>30</v>
      </c>
      <c r="B31">
        <v>1001</v>
      </c>
      <c r="C31">
        <v>1225.2</v>
      </c>
      <c r="D31" t="s">
        <v>231</v>
      </c>
      <c r="E31">
        <v>1001</v>
      </c>
      <c r="F31" t="s">
        <v>265</v>
      </c>
    </row>
    <row r="32" spans="1:8" x14ac:dyDescent="0.35">
      <c r="E32">
        <v>537.86</v>
      </c>
      <c r="F32">
        <v>752.21</v>
      </c>
      <c r="G32" t="s">
        <v>234</v>
      </c>
      <c r="H32">
        <v>537.86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Resultados Reglas Despacho</vt:lpstr>
      <vt:lpstr>Resultados Heuristicas</vt:lpstr>
      <vt:lpstr>Resultados Metaheuristicas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Alejandra Montes Losada</cp:lastModifiedBy>
  <dcterms:created xsi:type="dcterms:W3CDTF">2015-06-05T18:19:34Z</dcterms:created>
  <dcterms:modified xsi:type="dcterms:W3CDTF">2025-01-26T23:10:22Z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0x01010056431A67189E7E49876C936107163CC3</vt:lpwstr>
  </property>
  <property fmtid="{D5CDD505-2E9C-101B-9397-08002B2CF9AE}" pid="3" name="MediaServiceImageTags">
    <vt:lpwstr/>
  </property>
</Properties>
</file>